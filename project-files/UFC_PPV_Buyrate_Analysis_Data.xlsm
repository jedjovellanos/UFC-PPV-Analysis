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edjo\Desktop\RESUME PROJECTS\"/>
    </mc:Choice>
  </mc:AlternateContent>
  <xr:revisionPtr revIDLastSave="0" documentId="8_{5FDAC99B-4579-4BC7-9D23-05045B11DC49}" xr6:coauthVersionLast="47" xr6:coauthVersionMax="47" xr10:uidLastSave="{00000000-0000-0000-0000-000000000000}"/>
  <bookViews>
    <workbookView xWindow="26280" yWindow="900" windowWidth="23745" windowHeight="19320" activeTab="1" xr2:uid="{99A7E0D3-1744-4109-914D-AEC47B6AEA72}"/>
  </bookViews>
  <sheets>
    <sheet name="PPV Buy Rates" sheetId="7" r:id="rId1"/>
    <sheet name="PPV Buy Rates (disclosed only)" sheetId="10" r:id="rId2"/>
    <sheet name="PPV Price vs Avg BR % Changes" sheetId="20" r:id="rId3"/>
    <sheet name="Business Event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20" l="1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" i="20"/>
  <c r="D225" i="10"/>
</calcChain>
</file>

<file path=xl/sharedStrings.xml><?xml version="1.0" encoding="utf-8"?>
<sst xmlns="http://schemas.openxmlformats.org/spreadsheetml/2006/main" count="653" uniqueCount="349">
  <si>
    <t>UFC 100</t>
  </si>
  <si>
    <t>UFC 303: Pereira vs. Procházka 2</t>
  </si>
  <si>
    <t>UFC 302: Makhachev vs. Poirier</t>
  </si>
  <si>
    <t>UFC 301: Pantoja vs. Erceg</t>
  </si>
  <si>
    <t>UFC 300: Pereira vs. Hill</t>
  </si>
  <si>
    <t>UFC 299: O'Malley vs. Vera 2</t>
  </si>
  <si>
    <t>UFC 298: Volkanovski vs. Topuria</t>
  </si>
  <si>
    <t>UFC 297: Strickland vs. du Plessis</t>
  </si>
  <si>
    <t>UFC 296: Edwards vs. Covington</t>
  </si>
  <si>
    <t>UFC 295: Procházka vs. Pereira</t>
  </si>
  <si>
    <t>UFC 294: Makhachev vs. Volkanovski 2</t>
  </si>
  <si>
    <t>UFC 293: Adesanya vs. Strickland</t>
  </si>
  <si>
    <t>UFC 292: Sterling vs. O'Malley</t>
  </si>
  <si>
    <t>UFC 291: Poirier vs. Gaethje 2</t>
  </si>
  <si>
    <t>UFC 290: Volkanovski vs. Rodríguez</t>
  </si>
  <si>
    <t>UFC 289: Nunes vs. Aldana</t>
  </si>
  <si>
    <t>UFC 288: Sterling vs. Cejudo</t>
  </si>
  <si>
    <t>UFC 287: Pereira vs. Adesanya 2</t>
  </si>
  <si>
    <t>UFC 286: Edwards vs. Usman 3</t>
  </si>
  <si>
    <t>UFC 285: Jones vs. Gane</t>
  </si>
  <si>
    <t>UFC 284: Makhachev vs. Volkanovski</t>
  </si>
  <si>
    <t>UFC 283: Teixeira vs. Hill</t>
  </si>
  <si>
    <t>UFC 282: Błachowicz vs. Ankalaev</t>
  </si>
  <si>
    <t>UFC 281: Adesanya vs. Pereira</t>
  </si>
  <si>
    <t>UFC 280: Oliveira vs. Makhachev</t>
  </si>
  <si>
    <t>UFC 279: Diaz vs. Ferguson</t>
  </si>
  <si>
    <t>UFC 278: Usman vs. Edwards 2</t>
  </si>
  <si>
    <t>UFC 277: Peña vs. Nunes 2</t>
  </si>
  <si>
    <t>UFC 276: Adesanya vs. Cannonier</t>
  </si>
  <si>
    <t>UFC 275: Teixeira vs. Procházka</t>
  </si>
  <si>
    <t>UFC 274: Oliveira vs. Gaethje</t>
  </si>
  <si>
    <t>UFC 273: Volkanovski vs. The Korean Zombie</t>
  </si>
  <si>
    <t>UFC 272: Covington vs. Masvidal</t>
  </si>
  <si>
    <t>UFC 271: Adesanya vs. Whittaker 2</t>
  </si>
  <si>
    <t>UFC 270: Ngannou vs. Gane</t>
  </si>
  <si>
    <t>UFC 269: Oliveira vs. Poirier</t>
  </si>
  <si>
    <t>UFC 268: Usman vs. Covington 2</t>
  </si>
  <si>
    <t>UFC 267: Błachowicz vs. Teixeira</t>
  </si>
  <si>
    <t>UFC 266: Volkanovski vs. Ortega</t>
  </si>
  <si>
    <t>UFC 265: Lewis vs. Gane</t>
  </si>
  <si>
    <t>UFC 264: Poirier vs. McGregor 3</t>
  </si>
  <si>
    <t>UFC 263: Adesanya vs. Vettori 2</t>
  </si>
  <si>
    <t>UFC 262: Oliveira vs. Chandler</t>
  </si>
  <si>
    <t>UFC 261: Usman vs. Masvidal 2</t>
  </si>
  <si>
    <t>UFC 260: Miocic vs. Ngannou 2</t>
  </si>
  <si>
    <t>UFC 259: Błachowicz vs. Adesanya</t>
  </si>
  <si>
    <t>UFC 258: Usman vs. Burns</t>
  </si>
  <si>
    <t>UFC 257: Poirier vs. McGregor 2</t>
  </si>
  <si>
    <t>UFC 256: Figueiredo vs. Moreno</t>
  </si>
  <si>
    <t>UFC 255: Figueiredo vs. Perez</t>
  </si>
  <si>
    <t>UFC 254: Khabib vs. Gaethje</t>
  </si>
  <si>
    <t>UFC 253: Adesanya vs. Costa</t>
  </si>
  <si>
    <t>UFC 252: Miocic vs. Cormier 3</t>
  </si>
  <si>
    <t>UFC 251: Usman vs. Masvidal</t>
  </si>
  <si>
    <t>UFC 250: Nunes vs. Spencer</t>
  </si>
  <si>
    <t>UFC 249: Ferguson vs. Gaethje</t>
  </si>
  <si>
    <t>UFC 248: Adesanya vs. Romero</t>
  </si>
  <si>
    <t>UFC 247: Jones vs. Reyes</t>
  </si>
  <si>
    <t>UFC 246: McGregor vs. Cowboy</t>
  </si>
  <si>
    <t>UFC 245: Usman vs. Covington</t>
  </si>
  <si>
    <t>UFC 244: Masvidal vs. Diaz</t>
  </si>
  <si>
    <t>UFC 243: Whittaker vs. Adesanya</t>
  </si>
  <si>
    <t>UFC 242: Khabib vs. Poirier</t>
  </si>
  <si>
    <t>UFC 241: Cormier vs. Miocic 2</t>
  </si>
  <si>
    <t>UFC 240: Holloway vs. Edgar</t>
  </si>
  <si>
    <t>UFC 239: Jones vs. Santos</t>
  </si>
  <si>
    <t>UFC 238: Cejudo vs. Moraes</t>
  </si>
  <si>
    <t>UFC 237: Namajunas vs. Andrade</t>
  </si>
  <si>
    <t>UFC 236: Holloway vs. Poirier 2</t>
  </si>
  <si>
    <t>UFC 235: Jones vs. Smith</t>
  </si>
  <si>
    <t>UFC 234: Adesanya vs. Silva</t>
  </si>
  <si>
    <t>UFC 232: Jones vs. Gustafsson 2</t>
  </si>
  <si>
    <t>UFC 231: Holloway vs. Ortega</t>
  </si>
  <si>
    <t>UFC 230: Cormier vs. Lewis</t>
  </si>
  <si>
    <t>UFC 229: Khabib vs. McGregor</t>
  </si>
  <si>
    <t>UFC 228: Woodley vs. Till</t>
  </si>
  <si>
    <t>UFC 227: Dillashaw vs. Garbrandt 2</t>
  </si>
  <si>
    <t>UFC 226: Miocic vs. Cormier</t>
  </si>
  <si>
    <t>UFC 225: Whittaker vs. Romero 2</t>
  </si>
  <si>
    <t>UFC 224: Nunes vs. Pennington</t>
  </si>
  <si>
    <t>UFC 223: Khabib vs. Iaquinta</t>
  </si>
  <si>
    <t>UFC 222: Cyborg vs. Kunitskaya</t>
  </si>
  <si>
    <t>UFC 221: Romero vs. Rockhold</t>
  </si>
  <si>
    <t>UFC 220: Miocic vs. Ngannou</t>
  </si>
  <si>
    <t>UFC 219: Cyborg vs. Holm</t>
  </si>
  <si>
    <t>UFC 218: Holloway vs. Aldo 2</t>
  </si>
  <si>
    <t>UFC 217: Bisping vs. St-Pierre</t>
  </si>
  <si>
    <t>UFC 216: Ferguson vs. Lee</t>
  </si>
  <si>
    <t>UFC 215: Nunes vs. Shevchenko 2</t>
  </si>
  <si>
    <t>UFC 214: Cormier vs. Jones 2</t>
  </si>
  <si>
    <t>UFC 213: Romero vs. Whittaker</t>
  </si>
  <si>
    <t>UFC 212: Aldo vs. Holloway</t>
  </si>
  <si>
    <t>UFC 211: Miocic vs. dos Santos 2</t>
  </si>
  <si>
    <t>UFC 210: Cormier vs. Johnson 2</t>
  </si>
  <si>
    <t>UFC 209: Woodley vs. Thompson 2</t>
  </si>
  <si>
    <t>UFC 208: Holm vs. de Randamie</t>
  </si>
  <si>
    <t>UFC 207: Nunes vs. Rousey</t>
  </si>
  <si>
    <t>UFC 206: Holloway vs. Pettis</t>
  </si>
  <si>
    <t>UFC 205: Alvarez vs. McGregor</t>
  </si>
  <si>
    <t>UFC 204: Bisping vs. Henderson 2</t>
  </si>
  <si>
    <t>UFC 203: Miocic vs. Overeem</t>
  </si>
  <si>
    <t>UFC 202: Diaz vs. McGregor 2</t>
  </si>
  <si>
    <t>UFC 201: Lawler vs. Woodley</t>
  </si>
  <si>
    <t>UFC 200: Tate vs. Nunes</t>
  </si>
  <si>
    <t>UFC 199: Rockhold vs. Bisping 2</t>
  </si>
  <si>
    <t>UFC 198: Werdum vs. Miocic</t>
  </si>
  <si>
    <t>UFC 197: Jones vs. Saint Preux</t>
  </si>
  <si>
    <t>UFC 196: McGregor vs. Diaz</t>
  </si>
  <si>
    <t>UFC 195: Lawler vs. Condit</t>
  </si>
  <si>
    <t>UFC 194: Aldo vs. McGregor</t>
  </si>
  <si>
    <t>UFC 193: Rousey vs. Holm</t>
  </si>
  <si>
    <t>UFC 192: Cormier vs. Gustafsson</t>
  </si>
  <si>
    <t>UFC 191: Johnson vs. Dodson 2</t>
  </si>
  <si>
    <t>UFC 190: Rousey vs. Correia</t>
  </si>
  <si>
    <t>UFC 189: Mendes vs. McGregor</t>
  </si>
  <si>
    <t>UFC 188: Velasquez vs. Werdum</t>
  </si>
  <si>
    <t>UFC 187: Johnson vs. Cormier</t>
  </si>
  <si>
    <t>UFC 186: Johnson vs. Horiguchi</t>
  </si>
  <si>
    <t>UFC 185: Pettis vs. dos Anjos</t>
  </si>
  <si>
    <t>UFC 184: Rousey vs. Zingano</t>
  </si>
  <si>
    <t>UFC 183: Silva vs. Diaz</t>
  </si>
  <si>
    <t>UFC 182: Jones vs. Cormier</t>
  </si>
  <si>
    <t>UFC 181: Hendricks vs. Lawler II</t>
  </si>
  <si>
    <t>UFC 180: Werdum vs. Hunt</t>
  </si>
  <si>
    <t>UFC 179: Aldo vs. Mendes 2</t>
  </si>
  <si>
    <t>UFC 178: Johnson vs. Cariaso</t>
  </si>
  <si>
    <t>UFC 177: Dillashaw vs. Soto</t>
  </si>
  <si>
    <t>UFC 175: Weidman vs. Machida</t>
  </si>
  <si>
    <t>UFC 174: Johnson vs. Bagautinov</t>
  </si>
  <si>
    <t>UFC 173: Barão vs. Dillashaw</t>
  </si>
  <si>
    <t>UFC 172: Jones vs. Teixeira</t>
  </si>
  <si>
    <t>UFC 171: Hendricks vs. Lawler</t>
  </si>
  <si>
    <t>UFC 170: Rousey vs. McMann</t>
  </si>
  <si>
    <t>UFC 169: Barão vs. Faber 2</t>
  </si>
  <si>
    <t>UFC 168: Weidman vs. Silva 2</t>
  </si>
  <si>
    <t>UFC 167: St-Pierre vs. Hendricks</t>
  </si>
  <si>
    <t>UFC 166: Velasquez vs. dos Santos III</t>
  </si>
  <si>
    <t>UFC 165: Jones vs. Gustafsson</t>
  </si>
  <si>
    <t>UFC 164: Henderson vs. Pettis 2</t>
  </si>
  <si>
    <t>UFC 163: Aldo vs. Korean Zombie</t>
  </si>
  <si>
    <t>UFC 162: Silva vs. Weidman</t>
  </si>
  <si>
    <t>UFC 161: Evans vs. Henderson</t>
  </si>
  <si>
    <t>UFC 160: Velasquez vs. Bigfoot 2</t>
  </si>
  <si>
    <t>UFC 159: Jones vs. Sonnen</t>
  </si>
  <si>
    <t>UFC 158: St-Pierre vs. Diaz</t>
  </si>
  <si>
    <t>UFC 157: Rousey vs. Carmouche</t>
  </si>
  <si>
    <t>UFC 156: Aldo vs. Edgar</t>
  </si>
  <si>
    <t>UFC 155: dos Santos vs. Velasquez 2</t>
  </si>
  <si>
    <t>UFC 154: St-Pierre vs. Condit</t>
  </si>
  <si>
    <t>UFC 153: Silva vs. Bonnar</t>
  </si>
  <si>
    <t>UFC 152: Jones vs. Belfort</t>
  </si>
  <si>
    <t>UFC 150: Henderson vs. Edgar II</t>
  </si>
  <si>
    <t>UFC 149: Faber vs. Barão</t>
  </si>
  <si>
    <t>UFC 148: Silva vs. Sonnen II</t>
  </si>
  <si>
    <t>UFC 147: Silva vs. Franklin II</t>
  </si>
  <si>
    <t>UFC 146: dos Santos vs. Mir</t>
  </si>
  <si>
    <t>UFC 145: Jones vs. Evans</t>
  </si>
  <si>
    <t>UFC 144: Edgar vs. Henderson</t>
  </si>
  <si>
    <t>UFC 143: Diaz vs. Condit</t>
  </si>
  <si>
    <t>UFC 142: Aldo vs. Mendes</t>
  </si>
  <si>
    <t>UFC 141: Lesnar vs. Overeem</t>
  </si>
  <si>
    <t>UFC 140: Jones vs. Machida</t>
  </si>
  <si>
    <t>UFC 139: Shogun vs. Henderson</t>
  </si>
  <si>
    <t>UFC 138: Leben vs. Muñoz</t>
  </si>
  <si>
    <t>UFC 137: Penn vs. Diaz</t>
  </si>
  <si>
    <t>UFC 136: Edgar vs. Maynard III</t>
  </si>
  <si>
    <t>UFC 135: Jones vs. Rampage</t>
  </si>
  <si>
    <t>UFC 134: Silva vs. Okami</t>
  </si>
  <si>
    <t>UFC 133: Evans vs. Ortiz</t>
  </si>
  <si>
    <t>UFC 132: Cruz vs. Faber</t>
  </si>
  <si>
    <t>UFC 131: dos Santos vs. Carwin</t>
  </si>
  <si>
    <t>UFC 130: Rampage vs. Hamill</t>
  </si>
  <si>
    <t>UFC 129: St-Pierre vs. Shields</t>
  </si>
  <si>
    <t>UFC 128: Shogun vs. Jones</t>
  </si>
  <si>
    <t>UFC 127: Penn vs. Fitch</t>
  </si>
  <si>
    <t>UFC 126: Silva vs. Belfort</t>
  </si>
  <si>
    <t>UFC 125: Resolution</t>
  </si>
  <si>
    <t>UFC 124: St-Pierre vs. Koscheck 2</t>
  </si>
  <si>
    <t>UFC 123: Rampage vs. Machida</t>
  </si>
  <si>
    <t>UFC 122: Marquardt vs. Okami</t>
  </si>
  <si>
    <t>UFC 121: Lesnar vs. Velasquez</t>
  </si>
  <si>
    <t>UFC 120: Bisping vs. Akiyama</t>
  </si>
  <si>
    <t>UFC 119: Mir vs. Cro Cop</t>
  </si>
  <si>
    <t>UFC 118: Edgar vs. Penn 2</t>
  </si>
  <si>
    <t>UFC 117: Silva vs. Sonnen</t>
  </si>
  <si>
    <t>UFC 116: Lesnar vs. Carwin</t>
  </si>
  <si>
    <t>UFC 115: Liddell vs. Franklin</t>
  </si>
  <si>
    <t>UFC 114: Rampage vs. Evans</t>
  </si>
  <si>
    <t>UFC 113: Machida vs. Shogun 2</t>
  </si>
  <si>
    <t>UFC 112: Invincible</t>
  </si>
  <si>
    <t>UFC 111: St-Pierre vs. Hardy</t>
  </si>
  <si>
    <t>UFC 110: Nogueira vs. Velasquez</t>
  </si>
  <si>
    <t>UFC 109: Relentless</t>
  </si>
  <si>
    <t>UFC 108: Evans vs. Silva</t>
  </si>
  <si>
    <t>UFC 107: Penn vs. Sanchez</t>
  </si>
  <si>
    <t>UFC 106: Ortiz vs. Griffin 2</t>
  </si>
  <si>
    <t>UFC 105: Couture vs. Vera</t>
  </si>
  <si>
    <t>UFC 104: Machida vs. Shogun</t>
  </si>
  <si>
    <t>UFC 103: Franklin vs. Belfort</t>
  </si>
  <si>
    <t>UFC 102: Couture vs. Nogueira</t>
  </si>
  <si>
    <t>UFC 101: Declaration</t>
  </si>
  <si>
    <t>UFC 99: The Comeback</t>
  </si>
  <si>
    <t>UFC 98: Evans vs. Machida</t>
  </si>
  <si>
    <t>UFC 97: Redemption</t>
  </si>
  <si>
    <t>UFC 96: Jackson vs. Jardine</t>
  </si>
  <si>
    <t>UFC 95: Sanchez vs. Stevenson</t>
  </si>
  <si>
    <t>UFC 94: St-Pierre vs. Penn 2</t>
  </si>
  <si>
    <t>UFC 93: Franklin vs. Henderson</t>
  </si>
  <si>
    <t>UFC 92: The Ultimate 2008</t>
  </si>
  <si>
    <t>UFC 91: Couture vs. Lesnar</t>
  </si>
  <si>
    <t>UFC 90: Silva vs. Côté</t>
  </si>
  <si>
    <t>UFC 89: Bisping vs. Leben</t>
  </si>
  <si>
    <t>UFC 88: Breakthrough</t>
  </si>
  <si>
    <t>UFC 87: Seek and Destroy</t>
  </si>
  <si>
    <t>UFC 86: Jackson vs. Griffin</t>
  </si>
  <si>
    <t>UFC 85: Bedlam</t>
  </si>
  <si>
    <t>UFC 84: Ill Will</t>
  </si>
  <si>
    <t>UFC 83: Serra vs. St-Pierre 2</t>
  </si>
  <si>
    <t>UFC 82: Pride of a Champion</t>
  </si>
  <si>
    <t>UFC 81: Breaking Point</t>
  </si>
  <si>
    <t>UFC 80: Rapid Fire</t>
  </si>
  <si>
    <t>UFC 79: Nemesis</t>
  </si>
  <si>
    <t>UFC 78: Validation</t>
  </si>
  <si>
    <t>UFC 77: Hostile Territory</t>
  </si>
  <si>
    <t>UFC 76: Knockout</t>
  </si>
  <si>
    <t>UFC 75: Champion vs. Champion</t>
  </si>
  <si>
    <t>UFC 74: Respect</t>
  </si>
  <si>
    <t>UFC 73: Stacked</t>
  </si>
  <si>
    <t>UFC 72: Victory</t>
  </si>
  <si>
    <t>UFC 71: Liddell vs. Jackson</t>
  </si>
  <si>
    <t>UFC 70: Nations Collide</t>
  </si>
  <si>
    <t>UFC 69: Shootout</t>
  </si>
  <si>
    <t>UFC 68: The Uprising</t>
  </si>
  <si>
    <t>UFC 67: All or Nothing</t>
  </si>
  <si>
    <t>UFC 66: Liddell vs. Ortiz</t>
  </si>
  <si>
    <t>UFC 65: Bad Intentions</t>
  </si>
  <si>
    <t>UFC 64: Unstoppable</t>
  </si>
  <si>
    <t>UFC 63: Hughes vs. Penn</t>
  </si>
  <si>
    <t>UFC 62: Liddell vs. Sobral</t>
  </si>
  <si>
    <t>UFC 61: Bitter Rivals</t>
  </si>
  <si>
    <t>UFC 60: Hughes vs. Gracie</t>
  </si>
  <si>
    <t>UFC 59: Reality Check</t>
  </si>
  <si>
    <t>UFC 58: USA vs. Canada</t>
  </si>
  <si>
    <t>UFC 57: Liddell vs. Couture 3</t>
  </si>
  <si>
    <t>UFC 56: Full Force</t>
  </si>
  <si>
    <t>UFC 55: Fury</t>
  </si>
  <si>
    <t>UFC 54: Boiling Point</t>
  </si>
  <si>
    <t>UFC 53: Heavy Hitters</t>
  </si>
  <si>
    <t>UFC 52: Couture vs. Liddell</t>
  </si>
  <si>
    <t>UFC 51: Super Saturday</t>
  </si>
  <si>
    <t>UFC 50: The War of '04</t>
  </si>
  <si>
    <t>UFC 49: Unfinished Business</t>
  </si>
  <si>
    <t>UFC 48: Payback</t>
  </si>
  <si>
    <t>UFC 47: It's On!</t>
  </si>
  <si>
    <t>UFC 46: Supernatural</t>
  </si>
  <si>
    <t>UFC 45: Revolution</t>
  </si>
  <si>
    <t>UFC 44: Undisputed</t>
  </si>
  <si>
    <t>UFC 43: Meltdown</t>
  </si>
  <si>
    <t>UFC 42: Sudden Impact</t>
  </si>
  <si>
    <t>UFC 41: Onslaught</t>
  </si>
  <si>
    <t>UFC 40: Vendetta</t>
  </si>
  <si>
    <t>UFC 39: The Warriors Return</t>
  </si>
  <si>
    <t>UFC 38: Brawl at the Hall</t>
  </si>
  <si>
    <t>UFC 37: High Impact</t>
  </si>
  <si>
    <t>UFC 36: Worlds Collide</t>
  </si>
  <si>
    <t>UFC 35: Throwdown</t>
  </si>
  <si>
    <t>UFC 34: High Voltage</t>
  </si>
  <si>
    <t>UFC 33: Victory in Vegas</t>
  </si>
  <si>
    <t>UFC 32: Showdown in the Meadowlands</t>
  </si>
  <si>
    <t>UFC 31: Locked and Loaded</t>
  </si>
  <si>
    <t>UFC 30: Battle on the Boardwalk</t>
  </si>
  <si>
    <t>UFC 29: Defense of the Belts</t>
  </si>
  <si>
    <t>UFC 28: High Stakes</t>
  </si>
  <si>
    <t>UFC 27: Ultimate Bad Boyz</t>
  </si>
  <si>
    <t>UFC 26: Ultimate Field of Dreams</t>
  </si>
  <si>
    <t>UFC 25: Ultimate Japan 3</t>
  </si>
  <si>
    <t>UFC 24: First Defense</t>
  </si>
  <si>
    <t>UFC 23: Ultimate Japan 2</t>
  </si>
  <si>
    <t>UFC 22: Only One Can be Champion</t>
  </si>
  <si>
    <t>UFC 21: Return of the Champions</t>
  </si>
  <si>
    <t>UFC 20: Battle for the Gold</t>
  </si>
  <si>
    <t>UFC 19: Ultimate Young Guns</t>
  </si>
  <si>
    <t>UFC 18: The Road to the Heavyweight Title</t>
  </si>
  <si>
    <t>UFC 17: Redemption</t>
  </si>
  <si>
    <t>UFC 16: Battle in the Bayou</t>
  </si>
  <si>
    <t>UFC 15: Collision Course</t>
  </si>
  <si>
    <t>UFC 14: Showdown</t>
  </si>
  <si>
    <t>UFC 13: The Ultimate Force</t>
  </si>
  <si>
    <t>UFC 12: Judgement Day</t>
  </si>
  <si>
    <t>UFC 11: The Proving Ground</t>
  </si>
  <si>
    <t>UFC 10: The Tournament</t>
  </si>
  <si>
    <t>UFC 9: Motor City Madness</t>
  </si>
  <si>
    <t>UFC 8: David vs. Goliath</t>
  </si>
  <si>
    <t>UFC 7: The Brawl in Buffalo</t>
  </si>
  <si>
    <t>UFC 6: Clash of the Titans</t>
  </si>
  <si>
    <t>UFC 5: The Return of the Beast</t>
  </si>
  <si>
    <t>UFC 4: Revenge of the Warriors</t>
  </si>
  <si>
    <t>UFC 3: The American Dream</t>
  </si>
  <si>
    <t>UFC 2: No Way Out</t>
  </si>
  <si>
    <t>UFC 1: The Beginning</t>
  </si>
  <si>
    <t>Event</t>
  </si>
  <si>
    <t>Date</t>
  </si>
  <si>
    <t>PPV Buys</t>
  </si>
  <si>
    <t>N/A</t>
  </si>
  <si>
    <t>“The Ultimate Fighter” reality show debuts on Spike TV</t>
  </si>
  <si>
    <t>UFC becomes the first major sporting organization to return during the COVID-19 pandemic</t>
  </si>
  <si>
    <t>1993</t>
  </si>
  <si>
    <t>1994</t>
  </si>
  <si>
    <t>1995</t>
  </si>
  <si>
    <t>1996</t>
  </si>
  <si>
    <t>1997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</si>
  <si>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</si>
  <si>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</si>
  <si>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</si>
  <si>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</si>
  <si>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</si>
  <si>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</si>
  <si>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</si>
  <si>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</si>
  <si>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</si>
  <si>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</si>
  <si>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</si>
  <si>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</si>
  <si>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</si>
  <si>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</si>
  <si>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</si>
  <si>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</si>
  <si>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</si>
  <si>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</si>
  <si>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</si>
  <si>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</si>
  <si>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</si>
  <si>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</si>
  <si>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</si>
  <si>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Average of PPV Buys</t>
  </si>
  <si>
    <t>1998</t>
  </si>
  <si>
    <t>1999</t>
  </si>
  <si>
    <t>2000</t>
  </si>
  <si>
    <t>Year</t>
  </si>
  <si>
    <t>% Change</t>
  </si>
  <si>
    <t>PPV Price</t>
  </si>
  <si>
    <t>% Change2</t>
  </si>
  <si>
    <t>UFC 66: Liddell vs Ortiz produces the highest live gate revenue in North American MMA history and becomes the company's highest selling PPV event up to that point.</t>
  </si>
  <si>
    <t>UFC Japan: Ultimate Japan (aka UFC 15.5) becomes the first event outside of North America. PPV numbers from the late 90s until 2001 were rarely disclosed.</t>
  </si>
  <si>
    <t>The UFC's most successful year (in terms of PPV sales) is capped off by UFC 207, the promotion's fifth event in 2016 to surpass 1M PPV buys.</t>
  </si>
  <si>
    <t>UFC appears on network television for the first time after signing seven-year television deal with Fox Sports</t>
  </si>
  <si>
    <t>UFC 194: Aldo vs McGregor becomes the second event of the year to supass 1M PPV buys and the UFC's third highest selling PPV event up to that point.</t>
  </si>
  <si>
    <t>UFC signs five-year deal with ESPN making PPV events only available for purchase through ESPN+</t>
  </si>
  <si>
    <t>ESPN+ raises its monthly subscription cost 43% from $6.99 to $9.99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</si>
</sst>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9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name val="Aptos Narrow"/>
      <family val="2"/>
      <scheme val="minor"/>
    </font>
    <font>
      <sz val="14"/>
      <name val="Arial"/>
      <family val="2"/>
    </font>
    <font>
      <b/>
      <sz val="14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2">
    <border>
      <left/>
      <right/>
      <top/>
      <bottom/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0">
    <xf numFmtId="0" fontId="0" fillId="0" borderId="0" xfId="0"/>
    <xf numFmtId="0" fontId="3" fillId="0" borderId="0" xfId="0" applyFont="1"/>
    <xf numFmtId="3" fontId="4" fillId="0" borderId="0" xfId="0" applyNumberFormat="1" applyFont="1" applyAlignment="1">
      <alignment vertical="center" wrapText="1"/>
    </xf>
    <xf numFmtId="0" fontId="5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14" fontId="6" fillId="0" borderId="0" xfId="0" applyNumberFormat="1" applyFont="1"/>
    <xf numFmtId="44" fontId="0" fillId="0" borderId="0" xfId="2" applyFont="1"/>
    <xf numFmtId="0" fontId="7" fillId="0" borderId="0" xfId="0" applyFont="1"/>
    <xf numFmtId="0" fontId="5" fillId="2" borderId="1" xfId="0" applyFont="1" applyFill="1" applyBorder="1"/>
    <xf numFmtId="14" fontId="8" fillId="0" borderId="0" xfId="0" applyNumberFormat="1" applyFont="1"/>
    <xf numFmtId="0" fontId="8" fillId="0" borderId="0" xfId="0" applyFont="1"/>
    <xf numFmtId="1" fontId="8" fillId="0" borderId="0" xfId="0" applyNumberFormat="1" applyFont="1"/>
    <xf numFmtId="0" fontId="0" fillId="0" borderId="0" xfId="0" applyAlignment="1">
      <alignment horizontal="left"/>
    </xf>
    <xf numFmtId="3" fontId="0" fillId="0" borderId="0" xfId="0" applyNumberFormat="1"/>
    <xf numFmtId="164" fontId="0" fillId="0" borderId="0" xfId="3" applyNumberFormat="1" applyFont="1"/>
    <xf numFmtId="3" fontId="5" fillId="2" borderId="1" xfId="0" applyNumberFormat="1" applyFont="1" applyFill="1" applyBorder="1"/>
    <xf numFmtId="3" fontId="8" fillId="0" borderId="0" xfId="0" applyNumberFormat="1" applyFont="1"/>
    <xf numFmtId="3" fontId="3" fillId="0" borderId="0" xfId="0" applyNumberFormat="1" applyFont="1"/>
    <xf numFmtId="0" fontId="3" fillId="0" borderId="0" xfId="1" applyFont="1" applyFill="1" applyAlignment="1">
      <alignment vertical="center" wrapText="1"/>
    </xf>
  </cellXfs>
  <cellStyles count="4">
    <cellStyle name="Currency" xfId="2" builtinId="4"/>
    <cellStyle name="Hyperlink" xfId="1" builtinId="8"/>
    <cellStyle name="Normal" xfId="0" builtinId="0"/>
    <cellStyle name="Percent" xfId="3" builtinId="5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%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ptos Narrow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tos Narrow"/>
        <family val="2"/>
        <scheme val="minor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ptos Narrow"/>
        <family val="2"/>
        <scheme val="minor"/>
      </font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4A50A5-90B4-4D36-BE23-DEC53AB45205}" name="PPV_Buy_Rates_raw" displayName="PPV_Buy_Rates_raw" ref="A1:C301" totalsRowShown="0" headerRowDxfId="21" dataDxfId="20" dataCellStyle="Hyperlink">
  <autoFilter ref="A1:C301" xr:uid="{06F5137A-9EA6-4FBF-961E-EB46C063E3F2}">
    <filterColumn colId="0">
      <filters>
        <dateGroupItem year="2022" dateTimeGrouping="year"/>
      </filters>
    </filterColumn>
    <filterColumn colId="2">
      <filters>
        <filter val="360,000"/>
        <filter val="400,000"/>
        <filter val="600,000"/>
      </filters>
    </filterColumn>
  </autoFilter>
  <sortState xmlns:xlrd2="http://schemas.microsoft.com/office/spreadsheetml/2017/richdata2" ref="A181:C193">
    <sortCondition descending="1" ref="C1:C301"/>
  </sortState>
  <tableColumns count="3">
    <tableColumn id="2" xr3:uid="{6D5C55E4-948E-440C-AF38-54728431F76E}" name="Date" dataDxfId="19"/>
    <tableColumn id="1" xr3:uid="{5EDBEE44-6039-4453-A585-7321C8C514A1}" name="Event" dataDxfId="18" dataCellStyle="Hyperlink"/>
    <tableColumn id="6" xr3:uid="{E0807C5A-D21B-46BA-9079-99ADD6CF291C}" name="PPV Buys" dataDxfId="17" dataCellStyle="Hyperlink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1CCD307-E5BA-4924-9F38-7B7D6641FB37}" name="PPV_Buy_Rates_clean" displayName="PPV_Buy_Rates_clean" ref="A1:C228" totalsRowShown="0" headerRowDxfId="16" dataDxfId="15" dataCellStyle="Hyperlink">
  <autoFilter ref="A1:C228" xr:uid="{06F5137A-9EA6-4FBF-961E-EB46C063E3F2}">
    <filterColumn colId="0">
      <filters>
        <dateGroupItem year="2022" dateTimeGrouping="year"/>
      </filters>
    </filterColumn>
  </autoFilter>
  <sortState xmlns:xlrd2="http://schemas.microsoft.com/office/spreadsheetml/2017/richdata2" ref="A166:C178">
    <sortCondition descending="1" ref="C1:C228"/>
  </sortState>
  <tableColumns count="3">
    <tableColumn id="2" xr3:uid="{332F9F16-AE13-43B3-A298-2BF798FEE85E}" name="Date" dataDxfId="14"/>
    <tableColumn id="1" xr3:uid="{B2C0F048-0194-4582-9F11-D3E3B9F63B74}" name="Event" dataDxfId="13" dataCellStyle="Hyperlink"/>
    <tableColumn id="6" xr3:uid="{995BF138-B020-47F5-AB27-1D2AFC9FADA2}" name="PPV Buys" dataDxfId="12" dataCellStyle="Hyperlink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3F335C-FF21-4CFE-B49E-53D74F95A0F5}" name="Table10" displayName="Table10" ref="A1:E32" totalsRowShown="0">
  <autoFilter ref="A1:E32" xr:uid="{473F335C-FF21-4CFE-B49E-53D74F95A0F5}"/>
  <tableColumns count="5">
    <tableColumn id="1" xr3:uid="{FCB90138-7BEE-4FCC-A847-1E104A5F9B31}" name="Year" dataDxfId="11"/>
    <tableColumn id="2" xr3:uid="{D1356889-32CC-45DA-B666-2F5F906571F1}" name="PPV Price" dataDxfId="10" dataCellStyle="Currency"/>
    <tableColumn id="3" xr3:uid="{39749A69-18DC-4ADB-A58E-79A13FE60E3E}" name="% Change" dataDxfId="9" dataCellStyle="Percent">
      <calculatedColumnFormula>(#REF!-B1)/B1</calculatedColumnFormula>
    </tableColumn>
    <tableColumn id="4" xr3:uid="{EB02624F-CA84-450E-9931-518A4C03E7E9}" name="Average of PPV Buys" dataDxfId="8"/>
    <tableColumn id="5" xr3:uid="{96BE252B-5E17-43AF-85C4-C0C0151812CF}" name="% Change2" dataDxfId="7" dataCellStyle="Percent">
      <calculatedColumnFormula>(D2-D1)/D1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39585E-DBBF-4608-A7C6-CDCE885A53EC}" name="Business_Events" displayName="Business_Events" ref="A1:B10" totalsRowShown="0" headerRowDxfId="6">
  <autoFilter ref="A1:B10" xr:uid="{F539585E-DBBF-4608-A7C6-CDCE885A53EC}"/>
  <sortState xmlns:xlrd2="http://schemas.microsoft.com/office/spreadsheetml/2017/richdata2" ref="A2:B10">
    <sortCondition ref="A1:A10"/>
  </sortState>
  <tableColumns count="2">
    <tableColumn id="1" xr3:uid="{EE66B835-2BEA-41B8-B59B-B379FE662F36}" name="Date" dataDxfId="5"/>
    <tableColumn id="2" xr3:uid="{BD05AD7C-14DE-4C2B-9D53-4B1CA508B984}" name="Event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E0CB2-2DF0-452B-9C94-5EEEDAC13E67}">
  <sheetPr codeName="Sheet5"/>
  <dimension ref="A1:E301"/>
  <sheetViews>
    <sheetView showGridLines="0" zoomScale="115" zoomScaleNormal="115" workbookViewId="0">
      <selection activeCell="B306" sqref="B306"/>
    </sheetView>
  </sheetViews>
  <sheetFormatPr defaultRowHeight="18.75" x14ac:dyDescent="0.3"/>
  <cols>
    <col min="1" max="1" width="14.5703125" style="11" bestFit="1" customWidth="1"/>
    <col min="2" max="2" width="51.7109375" style="1" bestFit="1" customWidth="1"/>
    <col min="3" max="3" width="13.7109375" style="1" bestFit="1" customWidth="1"/>
    <col min="4" max="4" width="18.5703125" style="1" bestFit="1" customWidth="1"/>
    <col min="5" max="5" width="17.140625" style="1" bestFit="1" customWidth="1"/>
    <col min="6" max="6" width="4.85546875" style="1" bestFit="1" customWidth="1"/>
    <col min="7" max="16384" width="9.140625" style="1"/>
  </cols>
  <sheetData>
    <row r="1" spans="1:5" s="3" customFormat="1" ht="19.5" thickBot="1" x14ac:dyDescent="0.35">
      <c r="A1" s="9" t="s">
        <v>301</v>
      </c>
      <c r="B1" s="9" t="s">
        <v>300</v>
      </c>
      <c r="C1" s="16" t="s">
        <v>302</v>
      </c>
    </row>
    <row r="2" spans="1:5" hidden="1" x14ac:dyDescent="0.3">
      <c r="A2" s="10">
        <v>35580</v>
      </c>
      <c r="B2" s="11" t="s">
        <v>287</v>
      </c>
      <c r="C2" s="12" t="s">
        <v>303</v>
      </c>
      <c r="D2" s="2"/>
      <c r="E2" s="2"/>
    </row>
    <row r="3" spans="1:5" hidden="1" x14ac:dyDescent="0.3">
      <c r="A3" s="10">
        <v>35638</v>
      </c>
      <c r="B3" s="11" t="s">
        <v>286</v>
      </c>
      <c r="C3" s="12" t="s">
        <v>303</v>
      </c>
      <c r="D3" s="2"/>
    </row>
    <row r="4" spans="1:5" ht="16.5" hidden="1" customHeight="1" x14ac:dyDescent="0.3">
      <c r="A4" s="10">
        <v>35720</v>
      </c>
      <c r="B4" s="11" t="s">
        <v>285</v>
      </c>
      <c r="C4" s="12" t="s">
        <v>303</v>
      </c>
      <c r="D4" s="2"/>
    </row>
    <row r="5" spans="1:5" hidden="1" x14ac:dyDescent="0.3">
      <c r="A5" s="10">
        <v>35867</v>
      </c>
      <c r="B5" s="11" t="s">
        <v>284</v>
      </c>
      <c r="C5" s="12" t="s">
        <v>303</v>
      </c>
      <c r="D5" s="2"/>
    </row>
    <row r="6" spans="1:5" hidden="1" x14ac:dyDescent="0.3">
      <c r="A6" s="10">
        <v>35930</v>
      </c>
      <c r="B6" s="11" t="s">
        <v>283</v>
      </c>
      <c r="C6" s="12" t="s">
        <v>303</v>
      </c>
      <c r="D6" s="2"/>
    </row>
    <row r="7" spans="1:5" hidden="1" x14ac:dyDescent="0.3">
      <c r="A7" s="10">
        <v>36168</v>
      </c>
      <c r="B7" s="11" t="s">
        <v>282</v>
      </c>
      <c r="C7" s="12" t="s">
        <v>303</v>
      </c>
      <c r="D7" s="2"/>
    </row>
    <row r="8" spans="1:5" hidden="1" x14ac:dyDescent="0.3">
      <c r="A8" s="10">
        <v>36224</v>
      </c>
      <c r="B8" s="11" t="s">
        <v>281</v>
      </c>
      <c r="C8" s="12" t="s">
        <v>303</v>
      </c>
      <c r="D8" s="2"/>
    </row>
    <row r="9" spans="1:5" hidden="1" x14ac:dyDescent="0.3">
      <c r="A9" s="10">
        <v>36287</v>
      </c>
      <c r="B9" s="11" t="s">
        <v>280</v>
      </c>
      <c r="C9" s="12" t="s">
        <v>303</v>
      </c>
      <c r="D9" s="2"/>
    </row>
    <row r="10" spans="1:5" hidden="1" x14ac:dyDescent="0.3">
      <c r="A10" s="10">
        <v>36357</v>
      </c>
      <c r="B10" s="11" t="s">
        <v>279</v>
      </c>
      <c r="C10" s="12" t="s">
        <v>303</v>
      </c>
      <c r="D10" s="2"/>
    </row>
    <row r="11" spans="1:5" hidden="1" x14ac:dyDescent="0.3">
      <c r="A11" s="10">
        <v>36427</v>
      </c>
      <c r="B11" s="11" t="s">
        <v>278</v>
      </c>
      <c r="C11" s="12" t="s">
        <v>303</v>
      </c>
      <c r="D11" s="4"/>
    </row>
    <row r="12" spans="1:5" hidden="1" x14ac:dyDescent="0.3">
      <c r="A12" s="10">
        <v>36483</v>
      </c>
      <c r="B12" s="11" t="s">
        <v>277</v>
      </c>
      <c r="C12" s="12" t="s">
        <v>303</v>
      </c>
      <c r="D12" s="2"/>
    </row>
    <row r="13" spans="1:5" hidden="1" x14ac:dyDescent="0.3">
      <c r="A13" s="10">
        <v>36595</v>
      </c>
      <c r="B13" s="11" t="s">
        <v>276</v>
      </c>
      <c r="C13" s="12" t="s">
        <v>303</v>
      </c>
      <c r="D13" s="2"/>
    </row>
    <row r="14" spans="1:5" hidden="1" x14ac:dyDescent="0.3">
      <c r="A14" s="10">
        <v>36630</v>
      </c>
      <c r="B14" s="11" t="s">
        <v>275</v>
      </c>
      <c r="C14" s="12" t="s">
        <v>303</v>
      </c>
      <c r="D14" s="2"/>
    </row>
    <row r="15" spans="1:5" hidden="1" x14ac:dyDescent="0.3">
      <c r="A15" s="10">
        <v>36686</v>
      </c>
      <c r="B15" s="11" t="s">
        <v>274</v>
      </c>
      <c r="C15" s="12" t="s">
        <v>303</v>
      </c>
      <c r="D15" s="2"/>
    </row>
    <row r="16" spans="1:5" hidden="1" x14ac:dyDescent="0.3">
      <c r="A16" s="10">
        <v>36791</v>
      </c>
      <c r="B16" s="11" t="s">
        <v>273</v>
      </c>
      <c r="C16" s="12" t="s">
        <v>303</v>
      </c>
      <c r="D16" s="2"/>
    </row>
    <row r="17" spans="1:4" hidden="1" x14ac:dyDescent="0.3">
      <c r="A17" s="10">
        <v>36847</v>
      </c>
      <c r="B17" s="11" t="s">
        <v>272</v>
      </c>
      <c r="C17" s="12" t="s">
        <v>303</v>
      </c>
      <c r="D17" s="2"/>
    </row>
    <row r="18" spans="1:4" hidden="1" x14ac:dyDescent="0.3">
      <c r="A18" s="10">
        <v>36876</v>
      </c>
      <c r="B18" s="11" t="s">
        <v>271</v>
      </c>
      <c r="C18" s="12" t="s">
        <v>303</v>
      </c>
      <c r="D18" s="2"/>
    </row>
    <row r="19" spans="1:4" hidden="1" x14ac:dyDescent="0.3">
      <c r="A19" s="10">
        <v>36945</v>
      </c>
      <c r="B19" s="11" t="s">
        <v>270</v>
      </c>
      <c r="C19" s="12" t="s">
        <v>303</v>
      </c>
      <c r="D19" s="2"/>
    </row>
    <row r="20" spans="1:4" hidden="1" x14ac:dyDescent="0.3">
      <c r="A20" s="10">
        <v>37015</v>
      </c>
      <c r="B20" s="11" t="s">
        <v>269</v>
      </c>
      <c r="C20" s="12" t="s">
        <v>303</v>
      </c>
      <c r="D20" s="2"/>
    </row>
    <row r="21" spans="1:4" hidden="1" x14ac:dyDescent="0.3">
      <c r="A21" s="10">
        <v>37071</v>
      </c>
      <c r="B21" s="11" t="s">
        <v>268</v>
      </c>
      <c r="C21" s="12" t="s">
        <v>303</v>
      </c>
      <c r="D21" s="2"/>
    </row>
    <row r="22" spans="1:4" hidden="1" x14ac:dyDescent="0.3">
      <c r="A22" s="10">
        <v>39193</v>
      </c>
      <c r="B22" s="11" t="s">
        <v>230</v>
      </c>
      <c r="C22" s="12" t="s">
        <v>303</v>
      </c>
      <c r="D22" s="2"/>
    </row>
    <row r="23" spans="1:4" hidden="1" x14ac:dyDescent="0.3">
      <c r="A23" s="10">
        <v>39333</v>
      </c>
      <c r="B23" s="11" t="s">
        <v>225</v>
      </c>
      <c r="C23" s="12" t="s">
        <v>303</v>
      </c>
      <c r="D23" s="2"/>
    </row>
    <row r="24" spans="1:4" hidden="1" x14ac:dyDescent="0.3">
      <c r="A24" s="10">
        <v>39739</v>
      </c>
      <c r="B24" s="11" t="s">
        <v>211</v>
      </c>
      <c r="C24" s="12" t="s">
        <v>303</v>
      </c>
      <c r="D24" s="19"/>
    </row>
    <row r="25" spans="1:4" hidden="1" x14ac:dyDescent="0.3">
      <c r="A25" s="10">
        <v>39865</v>
      </c>
      <c r="B25" s="11" t="s">
        <v>205</v>
      </c>
      <c r="C25" s="12" t="s">
        <v>303</v>
      </c>
      <c r="D25" s="19"/>
    </row>
    <row r="26" spans="1:4" hidden="1" x14ac:dyDescent="0.3">
      <c r="A26" s="10">
        <v>40131</v>
      </c>
      <c r="B26" s="11" t="s">
        <v>196</v>
      </c>
      <c r="C26" s="12" t="s">
        <v>303</v>
      </c>
      <c r="D26" s="19"/>
    </row>
    <row r="27" spans="1:4" hidden="1" x14ac:dyDescent="0.3">
      <c r="A27" s="10">
        <v>40467</v>
      </c>
      <c r="B27" s="11" t="s">
        <v>181</v>
      </c>
      <c r="C27" s="12" t="s">
        <v>303</v>
      </c>
      <c r="D27" s="2"/>
    </row>
    <row r="28" spans="1:4" hidden="1" x14ac:dyDescent="0.3">
      <c r="A28" s="10">
        <v>40495</v>
      </c>
      <c r="B28" s="11" t="s">
        <v>179</v>
      </c>
      <c r="C28" s="12" t="s">
        <v>303</v>
      </c>
      <c r="D28" s="19"/>
    </row>
    <row r="29" spans="1:4" hidden="1" x14ac:dyDescent="0.3">
      <c r="A29" s="10">
        <v>40852</v>
      </c>
      <c r="B29" s="11" t="s">
        <v>163</v>
      </c>
      <c r="C29" s="12" t="s">
        <v>303</v>
      </c>
      <c r="D29" s="19"/>
    </row>
    <row r="30" spans="1:4" hidden="1" x14ac:dyDescent="0.3">
      <c r="A30" s="10">
        <v>34285</v>
      </c>
      <c r="B30" s="11" t="s">
        <v>299</v>
      </c>
      <c r="C30" s="17">
        <v>86000</v>
      </c>
      <c r="D30" s="19"/>
    </row>
    <row r="31" spans="1:4" hidden="1" x14ac:dyDescent="0.3">
      <c r="A31" s="10">
        <v>34404</v>
      </c>
      <c r="B31" s="11" t="s">
        <v>298</v>
      </c>
      <c r="C31" s="17">
        <v>300000</v>
      </c>
      <c r="D31" s="19"/>
    </row>
    <row r="32" spans="1:4" hidden="1" x14ac:dyDescent="0.3">
      <c r="A32" s="10">
        <v>34586</v>
      </c>
      <c r="B32" s="11" t="s">
        <v>297</v>
      </c>
      <c r="C32" s="17">
        <v>90000</v>
      </c>
      <c r="D32" s="19"/>
    </row>
    <row r="33" spans="1:4" hidden="1" x14ac:dyDescent="0.3">
      <c r="A33" s="10">
        <v>34684</v>
      </c>
      <c r="B33" s="11" t="s">
        <v>296</v>
      </c>
      <c r="C33" s="17">
        <v>120000</v>
      </c>
      <c r="D33" s="19"/>
    </row>
    <row r="34" spans="1:4" hidden="1" x14ac:dyDescent="0.3">
      <c r="A34" s="10">
        <v>34796</v>
      </c>
      <c r="B34" s="11" t="s">
        <v>295</v>
      </c>
      <c r="C34" s="17">
        <v>260000</v>
      </c>
      <c r="D34" s="19"/>
    </row>
    <row r="35" spans="1:4" hidden="1" x14ac:dyDescent="0.3">
      <c r="A35" s="10">
        <v>34894</v>
      </c>
      <c r="B35" s="11" t="s">
        <v>294</v>
      </c>
      <c r="C35" s="17">
        <v>240000</v>
      </c>
      <c r="D35" s="19"/>
    </row>
    <row r="36" spans="1:4" hidden="1" x14ac:dyDescent="0.3">
      <c r="A36" s="10">
        <v>34950</v>
      </c>
      <c r="B36" s="11" t="s">
        <v>293</v>
      </c>
      <c r="C36" s="17">
        <v>190000</v>
      </c>
      <c r="D36" s="2"/>
    </row>
    <row r="37" spans="1:4" hidden="1" x14ac:dyDescent="0.3">
      <c r="A37" s="10">
        <v>35111</v>
      </c>
      <c r="B37" s="11" t="s">
        <v>292</v>
      </c>
      <c r="C37" s="17">
        <v>300000</v>
      </c>
      <c r="D37" s="2"/>
    </row>
    <row r="38" spans="1:4" hidden="1" x14ac:dyDescent="0.3">
      <c r="A38" s="10">
        <v>35202</v>
      </c>
      <c r="B38" s="11" t="s">
        <v>291</v>
      </c>
      <c r="C38" s="17">
        <v>141000</v>
      </c>
      <c r="D38" s="2"/>
    </row>
    <row r="39" spans="1:4" hidden="1" x14ac:dyDescent="0.3">
      <c r="A39" s="10">
        <v>35258</v>
      </c>
      <c r="B39" s="11" t="s">
        <v>290</v>
      </c>
      <c r="C39" s="17">
        <v>96000</v>
      </c>
      <c r="D39" s="2"/>
    </row>
    <row r="40" spans="1:4" hidden="1" x14ac:dyDescent="0.3">
      <c r="A40" s="10">
        <v>35328</v>
      </c>
      <c r="B40" s="11" t="s">
        <v>289</v>
      </c>
      <c r="C40" s="17">
        <v>92000</v>
      </c>
      <c r="D40" s="2"/>
    </row>
    <row r="41" spans="1:4" hidden="1" x14ac:dyDescent="0.3">
      <c r="A41" s="10">
        <v>35468</v>
      </c>
      <c r="B41" s="11" t="s">
        <v>288</v>
      </c>
      <c r="C41" s="17">
        <v>122000</v>
      </c>
      <c r="D41" s="2"/>
    </row>
    <row r="42" spans="1:4" hidden="1" x14ac:dyDescent="0.3">
      <c r="A42" s="10">
        <v>37162</v>
      </c>
      <c r="B42" s="11" t="s">
        <v>267</v>
      </c>
      <c r="C42" s="17">
        <v>75000</v>
      </c>
      <c r="D42" s="4"/>
    </row>
    <row r="43" spans="1:4" hidden="1" x14ac:dyDescent="0.3">
      <c r="A43" s="10">
        <v>37197</v>
      </c>
      <c r="B43" s="11" t="s">
        <v>266</v>
      </c>
      <c r="C43" s="17">
        <v>65000</v>
      </c>
      <c r="D43" s="2"/>
    </row>
    <row r="44" spans="1:4" hidden="1" x14ac:dyDescent="0.3">
      <c r="A44" s="10">
        <v>37267</v>
      </c>
      <c r="B44" s="11" t="s">
        <v>265</v>
      </c>
      <c r="C44" s="17">
        <v>35000</v>
      </c>
      <c r="D44" s="2"/>
    </row>
    <row r="45" spans="1:4" hidden="1" x14ac:dyDescent="0.3">
      <c r="A45" s="10">
        <v>37337</v>
      </c>
      <c r="B45" s="11" t="s">
        <v>264</v>
      </c>
      <c r="C45" s="17">
        <v>55000</v>
      </c>
      <c r="D45" s="2"/>
    </row>
    <row r="46" spans="1:4" hidden="1" x14ac:dyDescent="0.3">
      <c r="A46" s="10">
        <v>37386</v>
      </c>
      <c r="B46" s="11" t="s">
        <v>263</v>
      </c>
      <c r="C46" s="17">
        <v>50000</v>
      </c>
      <c r="D46" s="2"/>
    </row>
    <row r="47" spans="1:4" hidden="1" x14ac:dyDescent="0.3">
      <c r="A47" s="10">
        <v>37450</v>
      </c>
      <c r="B47" s="11" t="s">
        <v>262</v>
      </c>
      <c r="C47" s="17">
        <v>45000</v>
      </c>
      <c r="D47" s="2"/>
    </row>
    <row r="48" spans="1:4" hidden="1" x14ac:dyDescent="0.3">
      <c r="A48" s="10">
        <v>37526</v>
      </c>
      <c r="B48" s="11" t="s">
        <v>261</v>
      </c>
      <c r="C48" s="17">
        <v>45000</v>
      </c>
      <c r="D48" s="2"/>
    </row>
    <row r="49" spans="1:4" hidden="1" x14ac:dyDescent="0.3">
      <c r="A49" s="10">
        <v>37582</v>
      </c>
      <c r="B49" s="11" t="s">
        <v>260</v>
      </c>
      <c r="C49" s="17">
        <v>100000</v>
      </c>
      <c r="D49" s="2"/>
    </row>
    <row r="50" spans="1:4" hidden="1" x14ac:dyDescent="0.3">
      <c r="A50" s="10">
        <v>37680</v>
      </c>
      <c r="B50" s="11" t="s">
        <v>259</v>
      </c>
      <c r="C50" s="17">
        <v>60000</v>
      </c>
      <c r="D50" s="2"/>
    </row>
    <row r="51" spans="1:4" hidden="1" x14ac:dyDescent="0.3">
      <c r="A51" s="10">
        <v>37736</v>
      </c>
      <c r="B51" s="11" t="s">
        <v>258</v>
      </c>
      <c r="C51" s="17">
        <v>35000</v>
      </c>
      <c r="D51" s="2"/>
    </row>
    <row r="52" spans="1:4" hidden="1" x14ac:dyDescent="0.3">
      <c r="A52" s="10">
        <v>37778</v>
      </c>
      <c r="B52" s="11" t="s">
        <v>257</v>
      </c>
      <c r="C52" s="17">
        <v>49000</v>
      </c>
      <c r="D52" s="2"/>
    </row>
    <row r="53" spans="1:4" hidden="1" x14ac:dyDescent="0.3">
      <c r="A53" s="10">
        <v>37890</v>
      </c>
      <c r="B53" s="11" t="s">
        <v>256</v>
      </c>
      <c r="C53" s="17">
        <v>94000</v>
      </c>
      <c r="D53" s="2"/>
    </row>
    <row r="54" spans="1:4" hidden="1" x14ac:dyDescent="0.3">
      <c r="A54" s="10">
        <v>37946</v>
      </c>
      <c r="B54" s="11" t="s">
        <v>255</v>
      </c>
      <c r="C54" s="17">
        <v>40000</v>
      </c>
      <c r="D54" s="2"/>
    </row>
    <row r="55" spans="1:4" hidden="1" x14ac:dyDescent="0.3">
      <c r="A55" s="10">
        <v>38017</v>
      </c>
      <c r="B55" s="11" t="s">
        <v>254</v>
      </c>
      <c r="C55" s="17">
        <v>80000</v>
      </c>
      <c r="D55" s="2"/>
    </row>
    <row r="56" spans="1:4" hidden="1" x14ac:dyDescent="0.3">
      <c r="A56" s="10">
        <v>38079</v>
      </c>
      <c r="B56" s="11" t="s">
        <v>253</v>
      </c>
      <c r="C56" s="17">
        <v>105000</v>
      </c>
      <c r="D56" s="2"/>
    </row>
    <row r="57" spans="1:4" hidden="1" x14ac:dyDescent="0.3">
      <c r="A57" s="10">
        <v>38157</v>
      </c>
      <c r="B57" s="11" t="s">
        <v>252</v>
      </c>
      <c r="C57" s="17">
        <v>110000</v>
      </c>
      <c r="D57" s="2"/>
    </row>
    <row r="58" spans="1:4" hidden="1" x14ac:dyDescent="0.3">
      <c r="A58" s="10">
        <v>38220</v>
      </c>
      <c r="B58" s="11" t="s">
        <v>251</v>
      </c>
      <c r="C58" s="17">
        <v>80000</v>
      </c>
      <c r="D58" s="2"/>
    </row>
    <row r="59" spans="1:4" hidden="1" x14ac:dyDescent="0.3">
      <c r="A59" s="10">
        <v>38282</v>
      </c>
      <c r="B59" s="11" t="s">
        <v>250</v>
      </c>
      <c r="C59" s="17">
        <v>40000</v>
      </c>
      <c r="D59" s="2"/>
    </row>
    <row r="60" spans="1:4" hidden="1" x14ac:dyDescent="0.3">
      <c r="A60" s="10">
        <v>38388</v>
      </c>
      <c r="B60" s="11" t="s">
        <v>249</v>
      </c>
      <c r="C60" s="17">
        <v>105000</v>
      </c>
      <c r="D60" s="2"/>
    </row>
    <row r="61" spans="1:4" hidden="1" x14ac:dyDescent="0.3">
      <c r="A61" s="10">
        <v>38458</v>
      </c>
      <c r="B61" s="11" t="s">
        <v>248</v>
      </c>
      <c r="C61" s="17">
        <v>280000</v>
      </c>
      <c r="D61" s="2"/>
    </row>
    <row r="62" spans="1:4" hidden="1" x14ac:dyDescent="0.3">
      <c r="A62" s="10">
        <v>38507</v>
      </c>
      <c r="B62" s="11" t="s">
        <v>247</v>
      </c>
      <c r="C62" s="17">
        <v>90000</v>
      </c>
      <c r="D62" s="2"/>
    </row>
    <row r="63" spans="1:4" hidden="1" x14ac:dyDescent="0.3">
      <c r="A63" s="10">
        <v>38584</v>
      </c>
      <c r="B63" s="11" t="s">
        <v>246</v>
      </c>
      <c r="C63" s="17">
        <v>150000</v>
      </c>
      <c r="D63" s="2"/>
    </row>
    <row r="64" spans="1:4" hidden="1" x14ac:dyDescent="0.3">
      <c r="A64" s="10">
        <v>38632</v>
      </c>
      <c r="B64" s="11" t="s">
        <v>245</v>
      </c>
      <c r="C64" s="17">
        <v>125000</v>
      </c>
      <c r="D64" s="2"/>
    </row>
    <row r="65" spans="1:4" hidden="1" x14ac:dyDescent="0.3">
      <c r="A65" s="10">
        <v>38675</v>
      </c>
      <c r="B65" s="11" t="s">
        <v>244</v>
      </c>
      <c r="C65" s="17">
        <v>200000</v>
      </c>
      <c r="D65" s="2"/>
    </row>
    <row r="66" spans="1:4" hidden="1" x14ac:dyDescent="0.3">
      <c r="A66" s="10">
        <v>38752</v>
      </c>
      <c r="B66" s="11" t="s">
        <v>243</v>
      </c>
      <c r="C66" s="17">
        <v>400000</v>
      </c>
      <c r="D66" s="2"/>
    </row>
    <row r="67" spans="1:4" hidden="1" x14ac:dyDescent="0.3">
      <c r="A67" s="10">
        <v>38780</v>
      </c>
      <c r="B67" s="11" t="s">
        <v>242</v>
      </c>
      <c r="C67" s="17">
        <v>300000</v>
      </c>
      <c r="D67" s="2"/>
    </row>
    <row r="68" spans="1:4" hidden="1" x14ac:dyDescent="0.3">
      <c r="A68" s="10">
        <v>38822</v>
      </c>
      <c r="B68" s="11" t="s">
        <v>241</v>
      </c>
      <c r="C68" s="17">
        <v>425000</v>
      </c>
      <c r="D68" s="2"/>
    </row>
    <row r="69" spans="1:4" hidden="1" x14ac:dyDescent="0.3">
      <c r="A69" s="10">
        <v>38864</v>
      </c>
      <c r="B69" s="11" t="s">
        <v>240</v>
      </c>
      <c r="C69" s="17">
        <v>620000</v>
      </c>
      <c r="D69" s="2"/>
    </row>
    <row r="70" spans="1:4" hidden="1" x14ac:dyDescent="0.3">
      <c r="A70" s="10">
        <v>38906</v>
      </c>
      <c r="B70" s="11" t="s">
        <v>239</v>
      </c>
      <c r="C70" s="17">
        <v>775000</v>
      </c>
      <c r="D70" s="2"/>
    </row>
    <row r="71" spans="1:4" hidden="1" x14ac:dyDescent="0.3">
      <c r="A71" s="10">
        <v>38955</v>
      </c>
      <c r="B71" s="11" t="s">
        <v>238</v>
      </c>
      <c r="C71" s="17">
        <v>500000</v>
      </c>
      <c r="D71" s="2"/>
    </row>
    <row r="72" spans="1:4" hidden="1" x14ac:dyDescent="0.3">
      <c r="A72" s="10">
        <v>38983</v>
      </c>
      <c r="B72" s="11" t="s">
        <v>237</v>
      </c>
      <c r="C72" s="17">
        <v>400000</v>
      </c>
      <c r="D72" s="2"/>
    </row>
    <row r="73" spans="1:4" hidden="1" x14ac:dyDescent="0.3">
      <c r="A73" s="10">
        <v>39004</v>
      </c>
      <c r="B73" s="11" t="s">
        <v>236</v>
      </c>
      <c r="C73" s="17">
        <v>300000</v>
      </c>
      <c r="D73" s="2"/>
    </row>
    <row r="74" spans="1:4" hidden="1" x14ac:dyDescent="0.3">
      <c r="A74" s="10">
        <v>39039</v>
      </c>
      <c r="B74" s="11" t="s">
        <v>235</v>
      </c>
      <c r="C74" s="17">
        <v>500000</v>
      </c>
      <c r="D74" s="2"/>
    </row>
    <row r="75" spans="1:4" hidden="1" x14ac:dyDescent="0.3">
      <c r="A75" s="10">
        <v>39081</v>
      </c>
      <c r="B75" s="11" t="s">
        <v>234</v>
      </c>
      <c r="C75" s="17">
        <v>929000</v>
      </c>
      <c r="D75" s="2"/>
    </row>
    <row r="76" spans="1:4" hidden="1" x14ac:dyDescent="0.3">
      <c r="A76" s="10">
        <v>39116</v>
      </c>
      <c r="B76" s="11" t="s">
        <v>233</v>
      </c>
      <c r="C76" s="17">
        <v>350000</v>
      </c>
      <c r="D76" s="2"/>
    </row>
    <row r="77" spans="1:4" hidden="1" x14ac:dyDescent="0.3">
      <c r="A77" s="10">
        <v>39144</v>
      </c>
      <c r="B77" s="11" t="s">
        <v>232</v>
      </c>
      <c r="C77" s="17">
        <v>534000</v>
      </c>
      <c r="D77" s="2"/>
    </row>
    <row r="78" spans="1:4" hidden="1" x14ac:dyDescent="0.3">
      <c r="A78" s="10">
        <v>39179</v>
      </c>
      <c r="B78" s="11" t="s">
        <v>231</v>
      </c>
      <c r="C78" s="17">
        <v>400000</v>
      </c>
      <c r="D78" s="2"/>
    </row>
    <row r="79" spans="1:4" hidden="1" x14ac:dyDescent="0.3">
      <c r="A79" s="10">
        <v>39228</v>
      </c>
      <c r="B79" s="11" t="s">
        <v>229</v>
      </c>
      <c r="C79" s="17">
        <v>675000</v>
      </c>
      <c r="D79" s="2"/>
    </row>
    <row r="80" spans="1:4" hidden="1" x14ac:dyDescent="0.3">
      <c r="A80" s="10">
        <v>39249</v>
      </c>
      <c r="B80" s="11" t="s">
        <v>228</v>
      </c>
      <c r="C80" s="17">
        <v>200000</v>
      </c>
      <c r="D80" s="2"/>
    </row>
    <row r="81" spans="1:4" hidden="1" x14ac:dyDescent="0.3">
      <c r="A81" s="10">
        <v>39270</v>
      </c>
      <c r="B81" s="11" t="s">
        <v>227</v>
      </c>
      <c r="C81" s="17">
        <v>425000</v>
      </c>
      <c r="D81" s="2"/>
    </row>
    <row r="82" spans="1:4" hidden="1" x14ac:dyDescent="0.3">
      <c r="A82" s="10">
        <v>39319</v>
      </c>
      <c r="B82" s="11" t="s">
        <v>226</v>
      </c>
      <c r="C82" s="17">
        <v>520000</v>
      </c>
      <c r="D82" s="2"/>
    </row>
    <row r="83" spans="1:4" hidden="1" x14ac:dyDescent="0.3">
      <c r="A83" s="10">
        <v>39347</v>
      </c>
      <c r="B83" s="11" t="s">
        <v>224</v>
      </c>
      <c r="C83" s="17">
        <v>475000</v>
      </c>
      <c r="D83" s="2"/>
    </row>
    <row r="84" spans="1:4" hidden="1" x14ac:dyDescent="0.3">
      <c r="A84" s="10">
        <v>39375</v>
      </c>
      <c r="B84" s="11" t="s">
        <v>223</v>
      </c>
      <c r="C84" s="17">
        <v>325000</v>
      </c>
      <c r="D84" s="2"/>
    </row>
    <row r="85" spans="1:4" hidden="1" x14ac:dyDescent="0.3">
      <c r="A85" s="10">
        <v>39403</v>
      </c>
      <c r="B85" s="11" t="s">
        <v>222</v>
      </c>
      <c r="C85" s="17">
        <v>400000</v>
      </c>
      <c r="D85" s="2"/>
    </row>
    <row r="86" spans="1:4" hidden="1" x14ac:dyDescent="0.3">
      <c r="A86" s="10">
        <v>39445</v>
      </c>
      <c r="B86" s="11" t="s">
        <v>221</v>
      </c>
      <c r="C86" s="17">
        <v>650000</v>
      </c>
      <c r="D86" s="2"/>
    </row>
    <row r="87" spans="1:4" hidden="1" x14ac:dyDescent="0.3">
      <c r="A87" s="10">
        <v>39466</v>
      </c>
      <c r="B87" s="11" t="s">
        <v>220</v>
      </c>
      <c r="C87" s="17">
        <v>225000</v>
      </c>
      <c r="D87" s="2"/>
    </row>
    <row r="88" spans="1:4" hidden="1" x14ac:dyDescent="0.3">
      <c r="A88" s="10">
        <v>39480</v>
      </c>
      <c r="B88" s="11" t="s">
        <v>219</v>
      </c>
      <c r="C88" s="17">
        <v>650000</v>
      </c>
      <c r="D88" s="2"/>
    </row>
    <row r="89" spans="1:4" hidden="1" x14ac:dyDescent="0.3">
      <c r="A89" s="10">
        <v>39508</v>
      </c>
      <c r="B89" s="11" t="s">
        <v>218</v>
      </c>
      <c r="C89" s="17">
        <v>325000</v>
      </c>
      <c r="D89" s="2"/>
    </row>
    <row r="90" spans="1:4" hidden="1" x14ac:dyDescent="0.3">
      <c r="A90" s="10">
        <v>39557</v>
      </c>
      <c r="B90" s="11" t="s">
        <v>217</v>
      </c>
      <c r="C90" s="17">
        <v>530000</v>
      </c>
      <c r="D90" s="2"/>
    </row>
    <row r="91" spans="1:4" hidden="1" x14ac:dyDescent="0.3">
      <c r="A91" s="10">
        <v>39592</v>
      </c>
      <c r="B91" s="11" t="s">
        <v>216</v>
      </c>
      <c r="C91" s="17">
        <v>475000</v>
      </c>
      <c r="D91" s="2"/>
    </row>
    <row r="92" spans="1:4" hidden="1" x14ac:dyDescent="0.3">
      <c r="A92" s="10">
        <v>39606</v>
      </c>
      <c r="B92" s="11" t="s">
        <v>215</v>
      </c>
      <c r="C92" s="17">
        <v>215000</v>
      </c>
      <c r="D92" s="2"/>
    </row>
    <row r="93" spans="1:4" hidden="1" x14ac:dyDescent="0.3">
      <c r="A93" s="10">
        <v>39634</v>
      </c>
      <c r="B93" s="11" t="s">
        <v>214</v>
      </c>
      <c r="C93" s="17">
        <v>540000</v>
      </c>
      <c r="D93" s="2"/>
    </row>
    <row r="94" spans="1:4" hidden="1" x14ac:dyDescent="0.3">
      <c r="A94" s="10">
        <v>39669</v>
      </c>
      <c r="B94" s="11" t="s">
        <v>213</v>
      </c>
      <c r="C94" s="17">
        <v>625000</v>
      </c>
      <c r="D94" s="2"/>
    </row>
    <row r="95" spans="1:4" hidden="1" x14ac:dyDescent="0.3">
      <c r="A95" s="10">
        <v>39697</v>
      </c>
      <c r="B95" s="11" t="s">
        <v>212</v>
      </c>
      <c r="C95" s="17">
        <v>480000</v>
      </c>
      <c r="D95" s="2"/>
    </row>
    <row r="96" spans="1:4" hidden="1" x14ac:dyDescent="0.3">
      <c r="A96" s="10">
        <v>39746</v>
      </c>
      <c r="B96" s="11" t="s">
        <v>210</v>
      </c>
      <c r="C96" s="17">
        <v>300000</v>
      </c>
      <c r="D96" s="2"/>
    </row>
    <row r="97" spans="1:4" hidden="1" x14ac:dyDescent="0.3">
      <c r="A97" s="10">
        <v>39767</v>
      </c>
      <c r="B97" s="11" t="s">
        <v>209</v>
      </c>
      <c r="C97" s="17">
        <v>1010000</v>
      </c>
      <c r="D97" s="2"/>
    </row>
    <row r="98" spans="1:4" hidden="1" x14ac:dyDescent="0.3">
      <c r="A98" s="10">
        <v>39809</v>
      </c>
      <c r="B98" s="11" t="s">
        <v>208</v>
      </c>
      <c r="C98" s="17">
        <v>1000000</v>
      </c>
      <c r="D98" s="2"/>
    </row>
    <row r="99" spans="1:4" hidden="1" x14ac:dyDescent="0.3">
      <c r="A99" s="10">
        <v>39830</v>
      </c>
      <c r="B99" s="11" t="s">
        <v>207</v>
      </c>
      <c r="C99" s="17">
        <v>350000</v>
      </c>
      <c r="D99" s="2"/>
    </row>
    <row r="100" spans="1:4" hidden="1" x14ac:dyDescent="0.3">
      <c r="A100" s="10">
        <v>39844</v>
      </c>
      <c r="B100" s="11" t="s">
        <v>206</v>
      </c>
      <c r="C100" s="17">
        <v>920000</v>
      </c>
      <c r="D100" s="2"/>
    </row>
    <row r="101" spans="1:4" hidden="1" x14ac:dyDescent="0.3">
      <c r="A101" s="10">
        <v>39879</v>
      </c>
      <c r="B101" s="11" t="s">
        <v>204</v>
      </c>
      <c r="C101" s="17">
        <v>350000</v>
      </c>
      <c r="D101" s="5"/>
    </row>
    <row r="102" spans="1:4" hidden="1" x14ac:dyDescent="0.3">
      <c r="A102" s="10">
        <v>39921</v>
      </c>
      <c r="B102" s="11" t="s">
        <v>203</v>
      </c>
      <c r="C102" s="17">
        <v>650000</v>
      </c>
      <c r="D102" s="2"/>
    </row>
    <row r="103" spans="1:4" hidden="1" x14ac:dyDescent="0.3">
      <c r="A103" s="10">
        <v>39956</v>
      </c>
      <c r="B103" s="11" t="s">
        <v>202</v>
      </c>
      <c r="C103" s="17">
        <v>635000</v>
      </c>
      <c r="D103" s="2"/>
    </row>
    <row r="104" spans="1:4" hidden="1" x14ac:dyDescent="0.3">
      <c r="A104" s="10">
        <v>39977</v>
      </c>
      <c r="B104" s="11" t="s">
        <v>201</v>
      </c>
      <c r="C104" s="17">
        <v>360000</v>
      </c>
      <c r="D104" s="2"/>
    </row>
    <row r="105" spans="1:4" hidden="1" x14ac:dyDescent="0.3">
      <c r="A105" s="10">
        <v>40005</v>
      </c>
      <c r="B105" s="11" t="s">
        <v>0</v>
      </c>
      <c r="C105" s="17">
        <v>1600000</v>
      </c>
      <c r="D105" s="2"/>
    </row>
    <row r="106" spans="1:4" hidden="1" x14ac:dyDescent="0.3">
      <c r="A106" s="10">
        <v>40033</v>
      </c>
      <c r="B106" s="11" t="s">
        <v>200</v>
      </c>
      <c r="C106" s="17">
        <v>850000</v>
      </c>
      <c r="D106" s="2"/>
    </row>
    <row r="107" spans="1:4" hidden="1" x14ac:dyDescent="0.3">
      <c r="A107" s="10">
        <v>40054</v>
      </c>
      <c r="B107" s="11" t="s">
        <v>199</v>
      </c>
      <c r="C107" s="17">
        <v>435000</v>
      </c>
      <c r="D107" s="2"/>
    </row>
    <row r="108" spans="1:4" hidden="1" x14ac:dyDescent="0.3">
      <c r="A108" s="10">
        <v>40075</v>
      </c>
      <c r="B108" s="11" t="s">
        <v>198</v>
      </c>
      <c r="C108" s="17">
        <v>375000</v>
      </c>
      <c r="D108" s="2"/>
    </row>
    <row r="109" spans="1:4" hidden="1" x14ac:dyDescent="0.3">
      <c r="A109" s="10">
        <v>40110</v>
      </c>
      <c r="B109" s="11" t="s">
        <v>197</v>
      </c>
      <c r="C109" s="17">
        <v>500000</v>
      </c>
      <c r="D109" s="2"/>
    </row>
    <row r="110" spans="1:4" hidden="1" x14ac:dyDescent="0.3">
      <c r="A110" s="10">
        <v>40138</v>
      </c>
      <c r="B110" s="11" t="s">
        <v>195</v>
      </c>
      <c r="C110" s="17">
        <v>375000</v>
      </c>
      <c r="D110" s="2"/>
    </row>
    <row r="111" spans="1:4" hidden="1" x14ac:dyDescent="0.3">
      <c r="A111" s="10">
        <v>40159</v>
      </c>
      <c r="B111" s="11" t="s">
        <v>194</v>
      </c>
      <c r="C111" s="17">
        <v>620000</v>
      </c>
      <c r="D111" s="2"/>
    </row>
    <row r="112" spans="1:4" hidden="1" x14ac:dyDescent="0.3">
      <c r="A112" s="10">
        <v>40180</v>
      </c>
      <c r="B112" s="11" t="s">
        <v>193</v>
      </c>
      <c r="C112" s="17">
        <v>300000</v>
      </c>
      <c r="D112" s="2"/>
    </row>
    <row r="113" spans="1:4" hidden="1" x14ac:dyDescent="0.3">
      <c r="A113" s="10">
        <v>40215</v>
      </c>
      <c r="B113" s="11" t="s">
        <v>192</v>
      </c>
      <c r="C113" s="17">
        <v>275000</v>
      </c>
      <c r="D113" s="2"/>
    </row>
    <row r="114" spans="1:4" hidden="1" x14ac:dyDescent="0.3">
      <c r="A114" s="10">
        <v>40230</v>
      </c>
      <c r="B114" s="11" t="s">
        <v>191</v>
      </c>
      <c r="C114" s="17">
        <v>240000</v>
      </c>
      <c r="D114" s="2"/>
    </row>
    <row r="115" spans="1:4" hidden="1" x14ac:dyDescent="0.3">
      <c r="A115" s="10">
        <v>40264</v>
      </c>
      <c r="B115" s="11" t="s">
        <v>190</v>
      </c>
      <c r="C115" s="17">
        <v>770000</v>
      </c>
      <c r="D115" s="2"/>
    </row>
    <row r="116" spans="1:4" hidden="1" x14ac:dyDescent="0.3">
      <c r="A116" s="10">
        <v>40278</v>
      </c>
      <c r="B116" s="11" t="s">
        <v>189</v>
      </c>
      <c r="C116" s="17">
        <v>500000</v>
      </c>
      <c r="D116" s="2"/>
    </row>
    <row r="117" spans="1:4" hidden="1" x14ac:dyDescent="0.3">
      <c r="A117" s="10">
        <v>40306</v>
      </c>
      <c r="B117" s="11" t="s">
        <v>188</v>
      </c>
      <c r="C117" s="17">
        <v>520000</v>
      </c>
      <c r="D117" s="2"/>
    </row>
    <row r="118" spans="1:4" hidden="1" x14ac:dyDescent="0.3">
      <c r="A118" s="10">
        <v>40327</v>
      </c>
      <c r="B118" s="11" t="s">
        <v>187</v>
      </c>
      <c r="C118" s="17">
        <v>1050000</v>
      </c>
      <c r="D118" s="2"/>
    </row>
    <row r="119" spans="1:4" hidden="1" x14ac:dyDescent="0.3">
      <c r="A119" s="10">
        <v>40341</v>
      </c>
      <c r="B119" s="11" t="s">
        <v>186</v>
      </c>
      <c r="C119" s="17">
        <v>520000</v>
      </c>
      <c r="D119" s="2"/>
    </row>
    <row r="120" spans="1:4" hidden="1" x14ac:dyDescent="0.3">
      <c r="A120" s="10">
        <v>40362</v>
      </c>
      <c r="B120" s="11" t="s">
        <v>185</v>
      </c>
      <c r="C120" s="17">
        <v>1160000</v>
      </c>
      <c r="D120" s="2"/>
    </row>
    <row r="121" spans="1:4" hidden="1" x14ac:dyDescent="0.3">
      <c r="A121" s="10">
        <v>40397</v>
      </c>
      <c r="B121" s="11" t="s">
        <v>184</v>
      </c>
      <c r="C121" s="17">
        <v>600000</v>
      </c>
      <c r="D121" s="2"/>
    </row>
    <row r="122" spans="1:4" hidden="1" x14ac:dyDescent="0.3">
      <c r="A122" s="10">
        <v>40418</v>
      </c>
      <c r="B122" s="11" t="s">
        <v>183</v>
      </c>
      <c r="C122" s="17">
        <v>570000</v>
      </c>
      <c r="D122" s="2"/>
    </row>
    <row r="123" spans="1:4" hidden="1" x14ac:dyDescent="0.3">
      <c r="A123" s="10">
        <v>40446</v>
      </c>
      <c r="B123" s="11" t="s">
        <v>182</v>
      </c>
      <c r="C123" s="17">
        <v>295000</v>
      </c>
      <c r="D123" s="2"/>
    </row>
    <row r="124" spans="1:4" hidden="1" x14ac:dyDescent="0.3">
      <c r="A124" s="10">
        <v>40474</v>
      </c>
      <c r="B124" s="11" t="s">
        <v>180</v>
      </c>
      <c r="C124" s="17">
        <v>1050000</v>
      </c>
      <c r="D124" s="5"/>
    </row>
    <row r="125" spans="1:4" hidden="1" x14ac:dyDescent="0.3">
      <c r="A125" s="10">
        <v>40502</v>
      </c>
      <c r="B125" s="11" t="s">
        <v>178</v>
      </c>
      <c r="C125" s="17">
        <v>500000</v>
      </c>
      <c r="D125" s="2"/>
    </row>
    <row r="126" spans="1:4" hidden="1" x14ac:dyDescent="0.3">
      <c r="A126" s="10">
        <v>40523</v>
      </c>
      <c r="B126" s="11" t="s">
        <v>177</v>
      </c>
      <c r="C126" s="17">
        <v>800000</v>
      </c>
      <c r="D126" s="2"/>
    </row>
    <row r="127" spans="1:4" hidden="1" x14ac:dyDescent="0.3">
      <c r="A127" s="10">
        <v>40544</v>
      </c>
      <c r="B127" s="11" t="s">
        <v>176</v>
      </c>
      <c r="C127" s="17">
        <v>270000</v>
      </c>
      <c r="D127" s="2"/>
    </row>
    <row r="128" spans="1:4" hidden="1" x14ac:dyDescent="0.3">
      <c r="A128" s="10">
        <v>40579</v>
      </c>
      <c r="B128" s="11" t="s">
        <v>175</v>
      </c>
      <c r="C128" s="17">
        <v>725000</v>
      </c>
      <c r="D128" s="2"/>
    </row>
    <row r="129" spans="1:4" hidden="1" x14ac:dyDescent="0.3">
      <c r="A129" s="10">
        <v>40601</v>
      </c>
      <c r="B129" s="11" t="s">
        <v>174</v>
      </c>
      <c r="C129" s="17">
        <v>260000</v>
      </c>
      <c r="D129" s="2"/>
    </row>
    <row r="130" spans="1:4" hidden="1" x14ac:dyDescent="0.3">
      <c r="A130" s="10">
        <v>40621</v>
      </c>
      <c r="B130" s="11" t="s">
        <v>173</v>
      </c>
      <c r="C130" s="17">
        <v>2140000</v>
      </c>
      <c r="D130" s="2"/>
    </row>
    <row r="131" spans="1:4" hidden="1" x14ac:dyDescent="0.3">
      <c r="A131" s="10">
        <v>40663</v>
      </c>
      <c r="B131" s="11" t="s">
        <v>172</v>
      </c>
      <c r="C131" s="17">
        <v>800000</v>
      </c>
      <c r="D131" s="2"/>
    </row>
    <row r="132" spans="1:4" hidden="1" x14ac:dyDescent="0.3">
      <c r="A132" s="10">
        <v>40691</v>
      </c>
      <c r="B132" s="11" t="s">
        <v>171</v>
      </c>
      <c r="C132" s="17">
        <v>325000</v>
      </c>
      <c r="D132" s="2"/>
    </row>
    <row r="133" spans="1:4" hidden="1" x14ac:dyDescent="0.3">
      <c r="A133" s="10">
        <v>40705</v>
      </c>
      <c r="B133" s="11" t="s">
        <v>170</v>
      </c>
      <c r="C133" s="17">
        <v>330000</v>
      </c>
      <c r="D133" s="2"/>
    </row>
    <row r="134" spans="1:4" hidden="1" x14ac:dyDescent="0.3">
      <c r="A134" s="10">
        <v>40726</v>
      </c>
      <c r="B134" s="11" t="s">
        <v>169</v>
      </c>
      <c r="C134" s="17">
        <v>350000</v>
      </c>
      <c r="D134" s="2"/>
    </row>
    <row r="135" spans="1:4" hidden="1" x14ac:dyDescent="0.3">
      <c r="A135" s="10">
        <v>40761</v>
      </c>
      <c r="B135" s="11" t="s">
        <v>168</v>
      </c>
      <c r="C135" s="17">
        <v>310000</v>
      </c>
      <c r="D135" s="2"/>
    </row>
    <row r="136" spans="1:4" hidden="1" x14ac:dyDescent="0.3">
      <c r="A136" s="10">
        <v>40782</v>
      </c>
      <c r="B136" s="11" t="s">
        <v>167</v>
      </c>
      <c r="C136" s="17">
        <v>335000</v>
      </c>
      <c r="D136" s="2"/>
    </row>
    <row r="137" spans="1:4" hidden="1" x14ac:dyDescent="0.3">
      <c r="A137" s="10">
        <v>40810</v>
      </c>
      <c r="B137" s="11" t="s">
        <v>166</v>
      </c>
      <c r="C137" s="17">
        <v>520000</v>
      </c>
      <c r="D137" s="2"/>
    </row>
    <row r="138" spans="1:4" hidden="1" x14ac:dyDescent="0.3">
      <c r="A138" s="10">
        <v>40824</v>
      </c>
      <c r="B138" s="11" t="s">
        <v>165</v>
      </c>
      <c r="C138" s="17">
        <v>225000</v>
      </c>
      <c r="D138" s="2"/>
    </row>
    <row r="139" spans="1:4" hidden="1" x14ac:dyDescent="0.3">
      <c r="A139" s="10">
        <v>40845</v>
      </c>
      <c r="B139" s="11" t="s">
        <v>164</v>
      </c>
      <c r="C139" s="17">
        <v>280000</v>
      </c>
      <c r="D139" s="2"/>
    </row>
    <row r="140" spans="1:4" hidden="1" x14ac:dyDescent="0.3">
      <c r="A140" s="10">
        <v>40866</v>
      </c>
      <c r="B140" s="11" t="s">
        <v>162</v>
      </c>
      <c r="C140" s="17">
        <v>290000</v>
      </c>
      <c r="D140" s="2"/>
    </row>
    <row r="141" spans="1:4" hidden="1" x14ac:dyDescent="0.3">
      <c r="A141" s="10">
        <v>40887</v>
      </c>
      <c r="B141" s="11" t="s">
        <v>161</v>
      </c>
      <c r="C141" s="17">
        <v>485000</v>
      </c>
      <c r="D141" s="2"/>
    </row>
    <row r="142" spans="1:4" hidden="1" x14ac:dyDescent="0.3">
      <c r="A142" s="10">
        <v>40907</v>
      </c>
      <c r="B142" s="11" t="s">
        <v>160</v>
      </c>
      <c r="C142" s="17">
        <v>750000</v>
      </c>
      <c r="D142" s="2"/>
    </row>
    <row r="143" spans="1:4" hidden="1" x14ac:dyDescent="0.3">
      <c r="A143" s="10">
        <v>40922</v>
      </c>
      <c r="B143" s="11" t="s">
        <v>159</v>
      </c>
      <c r="C143" s="17">
        <v>235000</v>
      </c>
      <c r="D143" s="2"/>
    </row>
    <row r="144" spans="1:4" hidden="1" x14ac:dyDescent="0.3">
      <c r="A144" s="10">
        <v>40943</v>
      </c>
      <c r="B144" s="11" t="s">
        <v>158</v>
      </c>
      <c r="C144" s="17">
        <v>400000</v>
      </c>
      <c r="D144" s="2"/>
    </row>
    <row r="145" spans="1:4" hidden="1" x14ac:dyDescent="0.3">
      <c r="A145" s="10">
        <v>40965</v>
      </c>
      <c r="B145" s="11" t="s">
        <v>157</v>
      </c>
      <c r="C145" s="17">
        <v>375000</v>
      </c>
      <c r="D145" s="2"/>
    </row>
    <row r="146" spans="1:4" hidden="1" x14ac:dyDescent="0.3">
      <c r="A146" s="10">
        <v>41020</v>
      </c>
      <c r="B146" s="11" t="s">
        <v>156</v>
      </c>
      <c r="C146" s="17">
        <v>700000</v>
      </c>
      <c r="D146" s="2"/>
    </row>
    <row r="147" spans="1:4" hidden="1" x14ac:dyDescent="0.3">
      <c r="A147" s="10">
        <v>41055</v>
      </c>
      <c r="B147" s="11" t="s">
        <v>155</v>
      </c>
      <c r="C147" s="17">
        <v>560000</v>
      </c>
      <c r="D147" s="2"/>
    </row>
    <row r="148" spans="1:4" hidden="1" x14ac:dyDescent="0.3">
      <c r="A148" s="10">
        <v>41083</v>
      </c>
      <c r="B148" s="11" t="s">
        <v>154</v>
      </c>
      <c r="C148" s="17">
        <v>140000</v>
      </c>
      <c r="D148" s="2"/>
    </row>
    <row r="149" spans="1:4" hidden="1" x14ac:dyDescent="0.3">
      <c r="A149" s="10">
        <v>41097</v>
      </c>
      <c r="B149" s="11" t="s">
        <v>153</v>
      </c>
      <c r="C149" s="17">
        <v>925000</v>
      </c>
      <c r="D149" s="2"/>
    </row>
    <row r="150" spans="1:4" hidden="1" x14ac:dyDescent="0.3">
      <c r="A150" s="10">
        <v>41111</v>
      </c>
      <c r="B150" s="11" t="s">
        <v>152</v>
      </c>
      <c r="C150" s="17">
        <v>235000</v>
      </c>
      <c r="D150" s="2"/>
    </row>
    <row r="151" spans="1:4" hidden="1" x14ac:dyDescent="0.3">
      <c r="A151" s="10">
        <v>41132</v>
      </c>
      <c r="B151" s="11" t="s">
        <v>151</v>
      </c>
      <c r="C151" s="17">
        <v>190000</v>
      </c>
      <c r="D151" s="2"/>
    </row>
    <row r="152" spans="1:4" hidden="1" x14ac:dyDescent="0.3">
      <c r="A152" s="10">
        <v>41174</v>
      </c>
      <c r="B152" s="11" t="s">
        <v>150</v>
      </c>
      <c r="C152" s="17">
        <v>450000</v>
      </c>
      <c r="D152" s="2"/>
    </row>
    <row r="153" spans="1:4" hidden="1" x14ac:dyDescent="0.3">
      <c r="A153" s="10">
        <v>41195</v>
      </c>
      <c r="B153" s="11" t="s">
        <v>149</v>
      </c>
      <c r="C153" s="17">
        <v>410000</v>
      </c>
      <c r="D153" s="2"/>
    </row>
    <row r="154" spans="1:4" hidden="1" x14ac:dyDescent="0.3">
      <c r="A154" s="10">
        <v>41230</v>
      </c>
      <c r="B154" s="11" t="s">
        <v>148</v>
      </c>
      <c r="C154" s="17">
        <v>700000</v>
      </c>
      <c r="D154" s="2"/>
    </row>
    <row r="155" spans="1:4" hidden="1" x14ac:dyDescent="0.3">
      <c r="A155" s="10">
        <v>41272</v>
      </c>
      <c r="B155" s="11" t="s">
        <v>147</v>
      </c>
      <c r="C155" s="17">
        <v>590000</v>
      </c>
      <c r="D155" s="2"/>
    </row>
    <row r="156" spans="1:4" hidden="1" x14ac:dyDescent="0.3">
      <c r="A156" s="10">
        <v>41307</v>
      </c>
      <c r="B156" s="11" t="s">
        <v>146</v>
      </c>
      <c r="C156" s="17">
        <v>330000</v>
      </c>
      <c r="D156" s="2"/>
    </row>
    <row r="157" spans="1:4" hidden="1" x14ac:dyDescent="0.3">
      <c r="A157" s="10">
        <v>41328</v>
      </c>
      <c r="B157" s="11" t="s">
        <v>145</v>
      </c>
      <c r="C157" s="17">
        <v>450000</v>
      </c>
      <c r="D157" s="2"/>
    </row>
    <row r="158" spans="1:4" hidden="1" x14ac:dyDescent="0.3">
      <c r="A158" s="10">
        <v>41349</v>
      </c>
      <c r="B158" s="11" t="s">
        <v>144</v>
      </c>
      <c r="C158" s="17">
        <v>950000</v>
      </c>
      <c r="D158" s="2"/>
    </row>
    <row r="159" spans="1:4" hidden="1" x14ac:dyDescent="0.3">
      <c r="A159" s="10">
        <v>41391</v>
      </c>
      <c r="B159" s="11" t="s">
        <v>143</v>
      </c>
      <c r="C159" s="17">
        <v>550000</v>
      </c>
      <c r="D159" s="2"/>
    </row>
    <row r="160" spans="1:4" hidden="1" x14ac:dyDescent="0.3">
      <c r="A160" s="10">
        <v>41419</v>
      </c>
      <c r="B160" s="11" t="s">
        <v>142</v>
      </c>
      <c r="C160" s="17">
        <v>380000</v>
      </c>
      <c r="D160" s="2"/>
    </row>
    <row r="161" spans="1:4" hidden="1" x14ac:dyDescent="0.3">
      <c r="A161" s="10">
        <v>41440</v>
      </c>
      <c r="B161" s="11" t="s">
        <v>141</v>
      </c>
      <c r="C161" s="17">
        <v>140000</v>
      </c>
      <c r="D161" s="2"/>
    </row>
    <row r="162" spans="1:4" hidden="1" x14ac:dyDescent="0.3">
      <c r="A162" s="10">
        <v>41461</v>
      </c>
      <c r="B162" s="11" t="s">
        <v>140</v>
      </c>
      <c r="C162" s="17">
        <v>550000</v>
      </c>
      <c r="D162" s="2"/>
    </row>
    <row r="163" spans="1:4" hidden="1" x14ac:dyDescent="0.3">
      <c r="A163" s="10">
        <v>41489</v>
      </c>
      <c r="B163" s="11" t="s">
        <v>139</v>
      </c>
      <c r="C163" s="17">
        <v>180000</v>
      </c>
      <c r="D163" s="2"/>
    </row>
    <row r="164" spans="1:4" hidden="1" x14ac:dyDescent="0.3">
      <c r="A164" s="10">
        <v>41517</v>
      </c>
      <c r="B164" s="11" t="s">
        <v>138</v>
      </c>
      <c r="C164" s="17">
        <v>270000</v>
      </c>
      <c r="D164" s="2"/>
    </row>
    <row r="165" spans="1:4" hidden="1" x14ac:dyDescent="0.3">
      <c r="A165" s="10">
        <v>41538</v>
      </c>
      <c r="B165" s="11" t="s">
        <v>137</v>
      </c>
      <c r="C165" s="17">
        <v>310000</v>
      </c>
      <c r="D165" s="2"/>
    </row>
    <row r="166" spans="1:4" hidden="1" x14ac:dyDescent="0.3">
      <c r="A166" s="10">
        <v>41566</v>
      </c>
      <c r="B166" s="11" t="s">
        <v>136</v>
      </c>
      <c r="C166" s="17">
        <v>330000</v>
      </c>
      <c r="D166" s="2"/>
    </row>
    <row r="167" spans="1:4" hidden="1" x14ac:dyDescent="0.3">
      <c r="A167" s="10">
        <v>41594</v>
      </c>
      <c r="B167" s="11" t="s">
        <v>135</v>
      </c>
      <c r="C167" s="17">
        <v>630000</v>
      </c>
      <c r="D167" s="2"/>
    </row>
    <row r="168" spans="1:4" hidden="1" x14ac:dyDescent="0.3">
      <c r="A168" s="10">
        <v>41636</v>
      </c>
      <c r="B168" s="11" t="s">
        <v>134</v>
      </c>
      <c r="C168" s="17">
        <v>1025000</v>
      </c>
      <c r="D168" s="2"/>
    </row>
    <row r="169" spans="1:4" hidden="1" x14ac:dyDescent="0.3">
      <c r="A169" s="10">
        <v>41671</v>
      </c>
      <c r="B169" s="11" t="s">
        <v>133</v>
      </c>
      <c r="C169" s="17">
        <v>230000</v>
      </c>
      <c r="D169" s="2"/>
    </row>
    <row r="170" spans="1:4" hidden="1" x14ac:dyDescent="0.3">
      <c r="A170" s="10">
        <v>41692</v>
      </c>
      <c r="B170" s="11" t="s">
        <v>132</v>
      </c>
      <c r="C170" s="17">
        <v>340000</v>
      </c>
      <c r="D170" s="2"/>
    </row>
    <row r="171" spans="1:4" hidden="1" x14ac:dyDescent="0.3">
      <c r="A171" s="10">
        <v>41713</v>
      </c>
      <c r="B171" s="11" t="s">
        <v>131</v>
      </c>
      <c r="C171" s="17">
        <v>300000</v>
      </c>
      <c r="D171" s="2"/>
    </row>
    <row r="172" spans="1:4" hidden="1" x14ac:dyDescent="0.3">
      <c r="A172" s="10">
        <v>41755</v>
      </c>
      <c r="B172" s="11" t="s">
        <v>130</v>
      </c>
      <c r="C172" s="17">
        <v>350000</v>
      </c>
      <c r="D172" s="2"/>
    </row>
    <row r="173" spans="1:4" hidden="1" x14ac:dyDescent="0.3">
      <c r="A173" s="10">
        <v>41783</v>
      </c>
      <c r="B173" s="11" t="s">
        <v>129</v>
      </c>
      <c r="C173" s="17">
        <v>215000</v>
      </c>
      <c r="D173" s="2"/>
    </row>
    <row r="174" spans="1:4" hidden="1" x14ac:dyDescent="0.3">
      <c r="A174" s="10">
        <v>41804</v>
      </c>
      <c r="B174" s="11" t="s">
        <v>128</v>
      </c>
      <c r="C174" s="17">
        <v>115000</v>
      </c>
      <c r="D174" s="2"/>
    </row>
    <row r="175" spans="1:4" hidden="1" x14ac:dyDescent="0.3">
      <c r="A175" s="10">
        <v>41825</v>
      </c>
      <c r="B175" s="11" t="s">
        <v>127</v>
      </c>
      <c r="C175" s="17">
        <v>545000</v>
      </c>
      <c r="D175" s="2"/>
    </row>
    <row r="176" spans="1:4" hidden="1" x14ac:dyDescent="0.3">
      <c r="A176" s="10">
        <v>41881</v>
      </c>
      <c r="B176" s="11" t="s">
        <v>126</v>
      </c>
      <c r="C176" s="17">
        <v>125000</v>
      </c>
      <c r="D176" s="2"/>
    </row>
    <row r="177" spans="1:4" hidden="1" x14ac:dyDescent="0.3">
      <c r="A177" s="10">
        <v>41909</v>
      </c>
      <c r="B177" s="11" t="s">
        <v>125</v>
      </c>
      <c r="C177" s="17">
        <v>205000</v>
      </c>
      <c r="D177" s="2"/>
    </row>
    <row r="178" spans="1:4" hidden="1" x14ac:dyDescent="0.3">
      <c r="A178" s="10">
        <v>41937</v>
      </c>
      <c r="B178" s="11" t="s">
        <v>124</v>
      </c>
      <c r="C178" s="17">
        <v>180000</v>
      </c>
      <c r="D178" s="2"/>
    </row>
    <row r="179" spans="1:4" hidden="1" x14ac:dyDescent="0.3">
      <c r="A179" s="10">
        <v>41958</v>
      </c>
      <c r="B179" s="11" t="s">
        <v>123</v>
      </c>
      <c r="C179" s="17">
        <v>185000</v>
      </c>
      <c r="D179" s="2"/>
    </row>
    <row r="180" spans="1:4" hidden="1" x14ac:dyDescent="0.3">
      <c r="A180" s="10">
        <v>41979</v>
      </c>
      <c r="B180" s="11" t="s">
        <v>122</v>
      </c>
      <c r="C180" s="17">
        <v>400000</v>
      </c>
      <c r="D180" s="2"/>
    </row>
    <row r="181" spans="1:4" hidden="1" x14ac:dyDescent="0.3">
      <c r="A181" s="10">
        <v>42350</v>
      </c>
      <c r="B181" s="11" t="s">
        <v>109</v>
      </c>
      <c r="C181" s="17">
        <v>1200000</v>
      </c>
      <c r="D181" s="2"/>
    </row>
    <row r="182" spans="1:4" hidden="1" x14ac:dyDescent="0.3">
      <c r="A182" s="10">
        <v>42322</v>
      </c>
      <c r="B182" s="11" t="s">
        <v>110</v>
      </c>
      <c r="C182" s="17">
        <v>1100000</v>
      </c>
      <c r="D182" s="2"/>
    </row>
    <row r="183" spans="1:4" hidden="1" x14ac:dyDescent="0.3">
      <c r="A183" s="10">
        <v>42217</v>
      </c>
      <c r="B183" s="11" t="s">
        <v>113</v>
      </c>
      <c r="C183" s="17">
        <v>900000</v>
      </c>
      <c r="D183" s="2"/>
    </row>
    <row r="184" spans="1:4" hidden="1" x14ac:dyDescent="0.3">
      <c r="A184" s="10">
        <v>42196</v>
      </c>
      <c r="B184" s="11" t="s">
        <v>114</v>
      </c>
      <c r="C184" s="17">
        <v>825000</v>
      </c>
      <c r="D184" s="2"/>
    </row>
    <row r="185" spans="1:4" hidden="1" x14ac:dyDescent="0.3">
      <c r="A185" s="10">
        <v>42007</v>
      </c>
      <c r="B185" s="11" t="s">
        <v>121</v>
      </c>
      <c r="C185" s="17">
        <v>800000</v>
      </c>
      <c r="D185" s="2"/>
    </row>
    <row r="186" spans="1:4" hidden="1" x14ac:dyDescent="0.3">
      <c r="A186" s="10">
        <v>42035</v>
      </c>
      <c r="B186" s="11" t="s">
        <v>120</v>
      </c>
      <c r="C186" s="17">
        <v>650000</v>
      </c>
      <c r="D186" s="2"/>
    </row>
    <row r="187" spans="1:4" hidden="1" x14ac:dyDescent="0.3">
      <c r="A187" s="10">
        <v>42063</v>
      </c>
      <c r="B187" s="11" t="s">
        <v>119</v>
      </c>
      <c r="C187" s="17">
        <v>600000</v>
      </c>
      <c r="D187" s="2"/>
    </row>
    <row r="188" spans="1:4" hidden="1" x14ac:dyDescent="0.3">
      <c r="A188" s="10">
        <v>42147</v>
      </c>
      <c r="B188" s="11" t="s">
        <v>116</v>
      </c>
      <c r="C188" s="17">
        <v>375000</v>
      </c>
      <c r="D188" s="2"/>
    </row>
    <row r="189" spans="1:4" hidden="1" x14ac:dyDescent="0.3">
      <c r="A189" s="10">
        <v>42077</v>
      </c>
      <c r="B189" s="11" t="s">
        <v>118</v>
      </c>
      <c r="C189" s="17">
        <v>310000</v>
      </c>
      <c r="D189" s="2"/>
    </row>
    <row r="190" spans="1:4" hidden="1" x14ac:dyDescent="0.3">
      <c r="A190" s="10">
        <v>42168</v>
      </c>
      <c r="B190" s="11" t="s">
        <v>115</v>
      </c>
      <c r="C190" s="17">
        <v>300000</v>
      </c>
      <c r="D190" s="2"/>
    </row>
    <row r="191" spans="1:4" hidden="1" x14ac:dyDescent="0.3">
      <c r="A191" s="10">
        <v>42280</v>
      </c>
      <c r="B191" s="11" t="s">
        <v>111</v>
      </c>
      <c r="C191" s="17">
        <v>250000</v>
      </c>
      <c r="D191" s="2"/>
    </row>
    <row r="192" spans="1:4" hidden="1" x14ac:dyDescent="0.3">
      <c r="A192" s="10">
        <v>42119</v>
      </c>
      <c r="B192" s="11" t="s">
        <v>117</v>
      </c>
      <c r="C192" s="17">
        <v>125000</v>
      </c>
      <c r="D192" s="2"/>
    </row>
    <row r="193" spans="1:4" hidden="1" x14ac:dyDescent="0.3">
      <c r="A193" s="10">
        <v>42252</v>
      </c>
      <c r="B193" s="11" t="s">
        <v>112</v>
      </c>
      <c r="C193" s="17">
        <v>115000</v>
      </c>
      <c r="D193" s="2"/>
    </row>
    <row r="194" spans="1:4" hidden="1" x14ac:dyDescent="0.3">
      <c r="A194" s="10">
        <v>42371</v>
      </c>
      <c r="B194" s="11" t="s">
        <v>108</v>
      </c>
      <c r="C194" s="17">
        <v>300000</v>
      </c>
      <c r="D194" s="2"/>
    </row>
    <row r="195" spans="1:4" hidden="1" x14ac:dyDescent="0.3">
      <c r="A195" s="10">
        <v>42434</v>
      </c>
      <c r="B195" s="11" t="s">
        <v>107</v>
      </c>
      <c r="C195" s="17">
        <v>1317000</v>
      </c>
      <c r="D195" s="2"/>
    </row>
    <row r="196" spans="1:4" hidden="1" x14ac:dyDescent="0.3">
      <c r="A196" s="10">
        <v>42483</v>
      </c>
      <c r="B196" s="11" t="s">
        <v>106</v>
      </c>
      <c r="C196" s="17">
        <v>410000</v>
      </c>
      <c r="D196" s="2"/>
    </row>
    <row r="197" spans="1:4" hidden="1" x14ac:dyDescent="0.3">
      <c r="A197" s="10">
        <v>42504</v>
      </c>
      <c r="B197" s="11" t="s">
        <v>105</v>
      </c>
      <c r="C197" s="17">
        <v>217000</v>
      </c>
      <c r="D197" s="2"/>
    </row>
    <row r="198" spans="1:4" hidden="1" x14ac:dyDescent="0.3">
      <c r="A198" s="10">
        <v>42525</v>
      </c>
      <c r="B198" s="11" t="s">
        <v>104</v>
      </c>
      <c r="C198" s="17">
        <v>300000</v>
      </c>
      <c r="D198" s="2"/>
    </row>
    <row r="199" spans="1:4" hidden="1" x14ac:dyDescent="0.3">
      <c r="A199" s="10">
        <v>42560</v>
      </c>
      <c r="B199" s="11" t="s">
        <v>103</v>
      </c>
      <c r="C199" s="17">
        <v>1009000</v>
      </c>
      <c r="D199" s="2"/>
    </row>
    <row r="200" spans="1:4" hidden="1" x14ac:dyDescent="0.3">
      <c r="A200" s="10">
        <v>42581</v>
      </c>
      <c r="B200" s="11" t="s">
        <v>102</v>
      </c>
      <c r="C200" s="17">
        <v>240000</v>
      </c>
      <c r="D200" s="2"/>
    </row>
    <row r="201" spans="1:4" hidden="1" x14ac:dyDescent="0.3">
      <c r="A201" s="10">
        <v>42602</v>
      </c>
      <c r="B201" s="11" t="s">
        <v>101</v>
      </c>
      <c r="C201" s="17">
        <v>1650000</v>
      </c>
      <c r="D201" s="2"/>
    </row>
    <row r="202" spans="1:4" hidden="1" x14ac:dyDescent="0.3">
      <c r="A202" s="10">
        <v>42623</v>
      </c>
      <c r="B202" s="11" t="s">
        <v>100</v>
      </c>
      <c r="C202" s="17">
        <v>450000</v>
      </c>
      <c r="D202" s="2"/>
    </row>
    <row r="203" spans="1:4" hidden="1" x14ac:dyDescent="0.3">
      <c r="A203" s="10">
        <v>42651</v>
      </c>
      <c r="B203" s="11" t="s">
        <v>99</v>
      </c>
      <c r="C203" s="17">
        <v>290000</v>
      </c>
      <c r="D203" s="2"/>
    </row>
    <row r="204" spans="1:4" hidden="1" x14ac:dyDescent="0.3">
      <c r="A204" s="10">
        <v>42686</v>
      </c>
      <c r="B204" s="11" t="s">
        <v>98</v>
      </c>
      <c r="C204" s="17">
        <v>1300000</v>
      </c>
      <c r="D204" s="2"/>
    </row>
    <row r="205" spans="1:4" hidden="1" x14ac:dyDescent="0.3">
      <c r="A205" s="10">
        <v>42714</v>
      </c>
      <c r="B205" s="11" t="s">
        <v>97</v>
      </c>
      <c r="C205" s="17">
        <v>150000</v>
      </c>
      <c r="D205" s="2"/>
    </row>
    <row r="206" spans="1:4" hidden="1" x14ac:dyDescent="0.3">
      <c r="A206" s="10">
        <v>42734</v>
      </c>
      <c r="B206" s="11" t="s">
        <v>96</v>
      </c>
      <c r="C206" s="17">
        <v>1100000</v>
      </c>
      <c r="D206" s="2"/>
    </row>
    <row r="207" spans="1:4" hidden="1" x14ac:dyDescent="0.3">
      <c r="A207" s="10">
        <v>42777</v>
      </c>
      <c r="B207" s="11" t="s">
        <v>95</v>
      </c>
      <c r="C207" s="12" t="s">
        <v>303</v>
      </c>
      <c r="D207" s="2"/>
    </row>
    <row r="208" spans="1:4" hidden="1" x14ac:dyDescent="0.3">
      <c r="A208" s="10">
        <v>42798</v>
      </c>
      <c r="B208" s="11" t="s">
        <v>94</v>
      </c>
      <c r="C208" s="17">
        <v>300000</v>
      </c>
      <c r="D208" s="2"/>
    </row>
    <row r="209" spans="1:4" hidden="1" x14ac:dyDescent="0.3">
      <c r="A209" s="10">
        <v>42833</v>
      </c>
      <c r="B209" s="11" t="s">
        <v>93</v>
      </c>
      <c r="C209" s="17">
        <v>300000</v>
      </c>
      <c r="D209" s="2"/>
    </row>
    <row r="210" spans="1:4" hidden="1" x14ac:dyDescent="0.3">
      <c r="A210" s="10">
        <v>42868</v>
      </c>
      <c r="B210" s="11" t="s">
        <v>92</v>
      </c>
      <c r="C210" s="17">
        <v>350000</v>
      </c>
      <c r="D210" s="2"/>
    </row>
    <row r="211" spans="1:4" hidden="1" x14ac:dyDescent="0.3">
      <c r="A211" s="10">
        <v>42889</v>
      </c>
      <c r="B211" s="11" t="s">
        <v>91</v>
      </c>
      <c r="C211" s="17">
        <v>167000</v>
      </c>
      <c r="D211" s="2"/>
    </row>
    <row r="212" spans="1:4" hidden="1" x14ac:dyDescent="0.3">
      <c r="A212" s="10">
        <v>42924</v>
      </c>
      <c r="B212" s="11" t="s">
        <v>90</v>
      </c>
      <c r="C212" s="17">
        <v>150000</v>
      </c>
      <c r="D212" s="2"/>
    </row>
    <row r="213" spans="1:4" hidden="1" x14ac:dyDescent="0.3">
      <c r="A213" s="10">
        <v>42945</v>
      </c>
      <c r="B213" s="11" t="s">
        <v>89</v>
      </c>
      <c r="C213" s="17">
        <v>860000</v>
      </c>
      <c r="D213" s="2"/>
    </row>
    <row r="214" spans="1:4" hidden="1" x14ac:dyDescent="0.3">
      <c r="A214" s="10">
        <v>42987</v>
      </c>
      <c r="B214" s="11" t="s">
        <v>88</v>
      </c>
      <c r="C214" s="17">
        <v>100000</v>
      </c>
      <c r="D214" s="2"/>
    </row>
    <row r="215" spans="1:4" hidden="1" x14ac:dyDescent="0.3">
      <c r="A215" s="10">
        <v>43015</v>
      </c>
      <c r="B215" s="11" t="s">
        <v>87</v>
      </c>
      <c r="C215" s="17">
        <v>200000</v>
      </c>
      <c r="D215" s="2"/>
    </row>
    <row r="216" spans="1:4" hidden="1" x14ac:dyDescent="0.3">
      <c r="A216" s="10">
        <v>43043</v>
      </c>
      <c r="B216" s="11" t="s">
        <v>86</v>
      </c>
      <c r="C216" s="17">
        <v>875000</v>
      </c>
      <c r="D216" s="2"/>
    </row>
    <row r="217" spans="1:4" hidden="1" x14ac:dyDescent="0.3">
      <c r="A217" s="10">
        <v>43071</v>
      </c>
      <c r="B217" s="11" t="s">
        <v>85</v>
      </c>
      <c r="C217" s="17">
        <v>230000</v>
      </c>
      <c r="D217" s="2"/>
    </row>
    <row r="218" spans="1:4" hidden="1" x14ac:dyDescent="0.3">
      <c r="A218" s="10">
        <v>43099</v>
      </c>
      <c r="B218" s="11" t="s">
        <v>84</v>
      </c>
      <c r="C218" s="17">
        <v>380000</v>
      </c>
      <c r="D218" s="2"/>
    </row>
    <row r="219" spans="1:4" hidden="1" x14ac:dyDescent="0.3">
      <c r="A219" s="10">
        <v>43120</v>
      </c>
      <c r="B219" s="11" t="s">
        <v>83</v>
      </c>
      <c r="C219" s="17">
        <v>350000</v>
      </c>
      <c r="D219" s="2"/>
    </row>
    <row r="220" spans="1:4" hidden="1" x14ac:dyDescent="0.3">
      <c r="A220" s="10">
        <v>43142</v>
      </c>
      <c r="B220" s="11" t="s">
        <v>82</v>
      </c>
      <c r="C220" s="17">
        <v>130000</v>
      </c>
      <c r="D220" s="2"/>
    </row>
    <row r="221" spans="1:4" hidden="1" x14ac:dyDescent="0.3">
      <c r="A221" s="10">
        <v>43162</v>
      </c>
      <c r="B221" s="11" t="s">
        <v>81</v>
      </c>
      <c r="C221" s="17">
        <v>260000</v>
      </c>
      <c r="D221" s="2"/>
    </row>
    <row r="222" spans="1:4" hidden="1" x14ac:dyDescent="0.3">
      <c r="A222" s="10">
        <v>43197</v>
      </c>
      <c r="B222" s="11" t="s">
        <v>80</v>
      </c>
      <c r="C222" s="17">
        <v>350000</v>
      </c>
      <c r="D222" s="2"/>
    </row>
    <row r="223" spans="1:4" hidden="1" x14ac:dyDescent="0.3">
      <c r="A223" s="10">
        <v>43232</v>
      </c>
      <c r="B223" s="11" t="s">
        <v>79</v>
      </c>
      <c r="C223" s="17">
        <v>85000</v>
      </c>
      <c r="D223" s="2"/>
    </row>
    <row r="224" spans="1:4" hidden="1" x14ac:dyDescent="0.3">
      <c r="A224" s="10">
        <v>43260</v>
      </c>
      <c r="B224" s="11" t="s">
        <v>78</v>
      </c>
      <c r="C224" s="17">
        <v>250000</v>
      </c>
      <c r="D224" s="2"/>
    </row>
    <row r="225" spans="1:4" hidden="1" x14ac:dyDescent="0.3">
      <c r="A225" s="10">
        <v>43288</v>
      </c>
      <c r="B225" s="11" t="s">
        <v>77</v>
      </c>
      <c r="C225" s="17">
        <v>380000</v>
      </c>
      <c r="D225" s="2"/>
    </row>
    <row r="226" spans="1:4" hidden="1" x14ac:dyDescent="0.3">
      <c r="A226" s="10">
        <v>43316</v>
      </c>
      <c r="B226" s="11" t="s">
        <v>76</v>
      </c>
      <c r="C226" s="17">
        <v>300000</v>
      </c>
      <c r="D226" s="4"/>
    </row>
    <row r="227" spans="1:4" hidden="1" x14ac:dyDescent="0.3">
      <c r="A227" s="10">
        <v>43351</v>
      </c>
      <c r="B227" s="11" t="s">
        <v>75</v>
      </c>
      <c r="C227" s="17">
        <v>130000</v>
      </c>
      <c r="D227" s="2"/>
    </row>
    <row r="228" spans="1:4" hidden="1" x14ac:dyDescent="0.3">
      <c r="A228" s="10">
        <v>43379</v>
      </c>
      <c r="B228" s="11" t="s">
        <v>74</v>
      </c>
      <c r="C228" s="17">
        <v>2400000</v>
      </c>
      <c r="D228" s="4"/>
    </row>
    <row r="229" spans="1:4" hidden="1" x14ac:dyDescent="0.3">
      <c r="A229" s="10">
        <v>43407</v>
      </c>
      <c r="B229" s="11" t="s">
        <v>73</v>
      </c>
      <c r="C229" s="17">
        <v>250000</v>
      </c>
    </row>
    <row r="230" spans="1:4" hidden="1" x14ac:dyDescent="0.3">
      <c r="A230" s="10">
        <v>43442</v>
      </c>
      <c r="B230" s="11" t="s">
        <v>72</v>
      </c>
      <c r="C230" s="17">
        <v>300000</v>
      </c>
    </row>
    <row r="231" spans="1:4" hidden="1" x14ac:dyDescent="0.3">
      <c r="A231" s="10">
        <v>43463</v>
      </c>
      <c r="B231" s="11" t="s">
        <v>71</v>
      </c>
      <c r="C231" s="17">
        <v>700000</v>
      </c>
    </row>
    <row r="232" spans="1:4" hidden="1" x14ac:dyDescent="0.3">
      <c r="A232" s="10">
        <v>43506</v>
      </c>
      <c r="B232" s="11" t="s">
        <v>70</v>
      </c>
      <c r="C232" s="17">
        <v>175000</v>
      </c>
    </row>
    <row r="233" spans="1:4" hidden="1" x14ac:dyDescent="0.3">
      <c r="A233" s="10">
        <v>43526</v>
      </c>
      <c r="B233" s="11" t="s">
        <v>69</v>
      </c>
      <c r="C233" s="17">
        <v>590000</v>
      </c>
    </row>
    <row r="234" spans="1:4" hidden="1" x14ac:dyDescent="0.3">
      <c r="A234" s="10">
        <v>43568</v>
      </c>
      <c r="B234" s="11" t="s">
        <v>68</v>
      </c>
      <c r="C234" s="17">
        <v>90000</v>
      </c>
    </row>
    <row r="235" spans="1:4" hidden="1" x14ac:dyDescent="0.3">
      <c r="A235" s="10">
        <v>43596</v>
      </c>
      <c r="B235" s="11" t="s">
        <v>67</v>
      </c>
      <c r="C235" s="17">
        <v>110000</v>
      </c>
    </row>
    <row r="236" spans="1:4" hidden="1" x14ac:dyDescent="0.3">
      <c r="A236" s="10">
        <v>43624</v>
      </c>
      <c r="B236" s="11" t="s">
        <v>66</v>
      </c>
      <c r="C236" s="17">
        <v>200000</v>
      </c>
    </row>
    <row r="237" spans="1:4" hidden="1" x14ac:dyDescent="0.3">
      <c r="A237" s="10">
        <v>43652</v>
      </c>
      <c r="B237" s="11" t="s">
        <v>65</v>
      </c>
      <c r="C237" s="12" t="s">
        <v>303</v>
      </c>
    </row>
    <row r="238" spans="1:4" hidden="1" x14ac:dyDescent="0.3">
      <c r="A238" s="10">
        <v>43673</v>
      </c>
      <c r="B238" s="11" t="s">
        <v>64</v>
      </c>
      <c r="C238" s="17">
        <v>270000</v>
      </c>
    </row>
    <row r="239" spans="1:4" hidden="1" x14ac:dyDescent="0.3">
      <c r="A239" s="10">
        <v>43694</v>
      </c>
      <c r="B239" s="11" t="s">
        <v>63</v>
      </c>
      <c r="C239" s="17">
        <v>600000</v>
      </c>
    </row>
    <row r="240" spans="1:4" hidden="1" x14ac:dyDescent="0.3">
      <c r="A240" s="10">
        <v>43715</v>
      </c>
      <c r="B240" s="11" t="s">
        <v>62</v>
      </c>
      <c r="C240" s="17">
        <v>1000000</v>
      </c>
    </row>
    <row r="241" spans="1:3" hidden="1" x14ac:dyDescent="0.3">
      <c r="A241" s="10">
        <v>43743</v>
      </c>
      <c r="B241" s="11" t="s">
        <v>61</v>
      </c>
      <c r="C241" s="12" t="s">
        <v>303</v>
      </c>
    </row>
    <row r="242" spans="1:3" hidden="1" x14ac:dyDescent="0.3">
      <c r="A242" s="10">
        <v>43771</v>
      </c>
      <c r="B242" s="11" t="s">
        <v>60</v>
      </c>
      <c r="C242" s="12" t="s">
        <v>303</v>
      </c>
    </row>
    <row r="243" spans="1:3" hidden="1" x14ac:dyDescent="0.3">
      <c r="A243" s="10">
        <v>43813</v>
      </c>
      <c r="B243" s="11" t="s">
        <v>59</v>
      </c>
      <c r="C243" s="12" t="s">
        <v>303</v>
      </c>
    </row>
    <row r="244" spans="1:3" hidden="1" x14ac:dyDescent="0.3">
      <c r="A244" s="10">
        <v>43848</v>
      </c>
      <c r="B244" s="11" t="s">
        <v>58</v>
      </c>
      <c r="C244" s="17">
        <v>1350000</v>
      </c>
    </row>
    <row r="245" spans="1:3" hidden="1" x14ac:dyDescent="0.3">
      <c r="A245" s="10">
        <v>43869</v>
      </c>
      <c r="B245" s="11" t="s">
        <v>57</v>
      </c>
      <c r="C245" s="12" t="s">
        <v>303</v>
      </c>
    </row>
    <row r="246" spans="1:3" hidden="1" x14ac:dyDescent="0.3">
      <c r="A246" s="10">
        <v>43897</v>
      </c>
      <c r="B246" s="11" t="s">
        <v>56</v>
      </c>
      <c r="C246" s="12" t="s">
        <v>303</v>
      </c>
    </row>
    <row r="247" spans="1:3" hidden="1" x14ac:dyDescent="0.3">
      <c r="A247" s="10">
        <v>43960</v>
      </c>
      <c r="B247" s="11" t="s">
        <v>55</v>
      </c>
      <c r="C247" s="17">
        <v>700000</v>
      </c>
    </row>
    <row r="248" spans="1:3" hidden="1" x14ac:dyDescent="0.3">
      <c r="A248" s="10">
        <v>43988</v>
      </c>
      <c r="B248" s="11" t="s">
        <v>54</v>
      </c>
      <c r="C248" s="12" t="s">
        <v>303</v>
      </c>
    </row>
    <row r="249" spans="1:3" hidden="1" x14ac:dyDescent="0.3">
      <c r="A249" s="10">
        <v>44024</v>
      </c>
      <c r="B249" s="11" t="s">
        <v>53</v>
      </c>
      <c r="C249" s="17">
        <v>1300000</v>
      </c>
    </row>
    <row r="250" spans="1:3" hidden="1" x14ac:dyDescent="0.3">
      <c r="A250" s="10">
        <v>44058</v>
      </c>
      <c r="B250" s="11" t="s">
        <v>52</v>
      </c>
      <c r="C250" s="17">
        <v>500000</v>
      </c>
    </row>
    <row r="251" spans="1:3" hidden="1" x14ac:dyDescent="0.3">
      <c r="A251" s="10">
        <v>44101</v>
      </c>
      <c r="B251" s="11" t="s">
        <v>51</v>
      </c>
      <c r="C251" s="17">
        <v>700000</v>
      </c>
    </row>
    <row r="252" spans="1:3" hidden="1" x14ac:dyDescent="0.3">
      <c r="A252" s="10">
        <v>44128</v>
      </c>
      <c r="B252" s="11" t="s">
        <v>50</v>
      </c>
      <c r="C252" s="17">
        <v>675000</v>
      </c>
    </row>
    <row r="253" spans="1:3" hidden="1" x14ac:dyDescent="0.3">
      <c r="A253" s="10">
        <v>44156</v>
      </c>
      <c r="B253" s="11" t="s">
        <v>49</v>
      </c>
      <c r="C253" s="12" t="s">
        <v>303</v>
      </c>
    </row>
    <row r="254" spans="1:3" hidden="1" x14ac:dyDescent="0.3">
      <c r="A254" s="10">
        <v>44177</v>
      </c>
      <c r="B254" s="11" t="s">
        <v>48</v>
      </c>
      <c r="C254" s="12" t="s">
        <v>303</v>
      </c>
    </row>
    <row r="255" spans="1:3" hidden="1" x14ac:dyDescent="0.3">
      <c r="A255" s="10">
        <v>44220</v>
      </c>
      <c r="B255" s="11" t="s">
        <v>47</v>
      </c>
      <c r="C255" s="17">
        <v>1500000</v>
      </c>
    </row>
    <row r="256" spans="1:3" hidden="1" x14ac:dyDescent="0.3">
      <c r="A256" s="10">
        <v>44240</v>
      </c>
      <c r="B256" s="11" t="s">
        <v>46</v>
      </c>
      <c r="C256" s="12" t="s">
        <v>303</v>
      </c>
    </row>
    <row r="257" spans="1:3" hidden="1" x14ac:dyDescent="0.3">
      <c r="A257" s="10">
        <v>44261</v>
      </c>
      <c r="B257" s="11" t="s">
        <v>45</v>
      </c>
      <c r="C257" s="17">
        <v>800000</v>
      </c>
    </row>
    <row r="258" spans="1:3" hidden="1" x14ac:dyDescent="0.3">
      <c r="A258" s="10">
        <v>44282</v>
      </c>
      <c r="B258" s="11" t="s">
        <v>44</v>
      </c>
      <c r="C258" s="12" t="s">
        <v>303</v>
      </c>
    </row>
    <row r="259" spans="1:3" hidden="1" x14ac:dyDescent="0.3">
      <c r="A259" s="10">
        <v>44310</v>
      </c>
      <c r="B259" s="11" t="s">
        <v>43</v>
      </c>
      <c r="C259" s="17">
        <v>700000</v>
      </c>
    </row>
    <row r="260" spans="1:3" hidden="1" x14ac:dyDescent="0.3">
      <c r="A260" s="10">
        <v>44331</v>
      </c>
      <c r="B260" s="11" t="s">
        <v>42</v>
      </c>
      <c r="C260" s="17">
        <v>300000</v>
      </c>
    </row>
    <row r="261" spans="1:3" hidden="1" x14ac:dyDescent="0.3">
      <c r="A261" s="10">
        <v>44359</v>
      </c>
      <c r="B261" s="11" t="s">
        <v>41</v>
      </c>
      <c r="C261" s="17">
        <v>600000</v>
      </c>
    </row>
    <row r="262" spans="1:3" hidden="1" x14ac:dyDescent="0.3">
      <c r="A262" s="10">
        <v>44387</v>
      </c>
      <c r="B262" s="11" t="s">
        <v>40</v>
      </c>
      <c r="C262" s="17">
        <v>1800000</v>
      </c>
    </row>
    <row r="263" spans="1:3" hidden="1" x14ac:dyDescent="0.3">
      <c r="A263" s="10">
        <v>44415</v>
      </c>
      <c r="B263" s="11" t="s">
        <v>39</v>
      </c>
      <c r="C263" s="12" t="s">
        <v>303</v>
      </c>
    </row>
    <row r="264" spans="1:3" hidden="1" x14ac:dyDescent="0.3">
      <c r="A264" s="10">
        <v>44464</v>
      </c>
      <c r="B264" s="11" t="s">
        <v>38</v>
      </c>
      <c r="C264" s="12" t="s">
        <v>303</v>
      </c>
    </row>
    <row r="265" spans="1:3" hidden="1" x14ac:dyDescent="0.3">
      <c r="A265" s="10">
        <v>44499</v>
      </c>
      <c r="B265" s="11" t="s">
        <v>37</v>
      </c>
      <c r="C265" s="12" t="s">
        <v>303</v>
      </c>
    </row>
    <row r="266" spans="1:3" hidden="1" x14ac:dyDescent="0.3">
      <c r="A266" s="10">
        <v>44506</v>
      </c>
      <c r="B266" s="11" t="s">
        <v>36</v>
      </c>
      <c r="C266" s="17">
        <v>700000</v>
      </c>
    </row>
    <row r="267" spans="1:3" hidden="1" x14ac:dyDescent="0.3">
      <c r="A267" s="10">
        <v>44541</v>
      </c>
      <c r="B267" s="11" t="s">
        <v>35</v>
      </c>
      <c r="C267" s="17">
        <v>500000</v>
      </c>
    </row>
    <row r="268" spans="1:3" hidden="1" x14ac:dyDescent="0.3">
      <c r="A268" s="10">
        <v>44583</v>
      </c>
      <c r="B268" s="11" t="s">
        <v>34</v>
      </c>
      <c r="C268" s="12" t="s">
        <v>303</v>
      </c>
    </row>
    <row r="269" spans="1:3" hidden="1" x14ac:dyDescent="0.3">
      <c r="A269" s="10">
        <v>44604</v>
      </c>
      <c r="B269" s="11" t="s">
        <v>33</v>
      </c>
      <c r="C269" s="12" t="s">
        <v>303</v>
      </c>
    </row>
    <row r="270" spans="1:3" hidden="1" x14ac:dyDescent="0.3">
      <c r="A270" s="10">
        <v>44625</v>
      </c>
      <c r="B270" s="11" t="s">
        <v>32</v>
      </c>
      <c r="C270" s="12" t="s">
        <v>303</v>
      </c>
    </row>
    <row r="271" spans="1:3" hidden="1" x14ac:dyDescent="0.3">
      <c r="A271" s="10">
        <v>44660</v>
      </c>
      <c r="B271" s="11" t="s">
        <v>31</v>
      </c>
      <c r="C271" s="12" t="s">
        <v>303</v>
      </c>
    </row>
    <row r="272" spans="1:3" x14ac:dyDescent="0.3">
      <c r="A272" s="10">
        <v>44688</v>
      </c>
      <c r="B272" s="11" t="s">
        <v>30</v>
      </c>
      <c r="C272" s="17">
        <v>400000</v>
      </c>
    </row>
    <row r="273" spans="1:3" hidden="1" x14ac:dyDescent="0.3">
      <c r="A273" s="10">
        <v>44724</v>
      </c>
      <c r="B273" s="11" t="s">
        <v>29</v>
      </c>
      <c r="C273" s="12" t="s">
        <v>303</v>
      </c>
    </row>
    <row r="274" spans="1:3" x14ac:dyDescent="0.3">
      <c r="A274" s="10">
        <v>44744</v>
      </c>
      <c r="B274" s="11" t="s">
        <v>28</v>
      </c>
      <c r="C274" s="17">
        <v>400000</v>
      </c>
    </row>
    <row r="275" spans="1:3" hidden="1" x14ac:dyDescent="0.3">
      <c r="A275" s="10">
        <v>44772</v>
      </c>
      <c r="B275" s="11" t="s">
        <v>27</v>
      </c>
      <c r="C275" s="12" t="s">
        <v>303</v>
      </c>
    </row>
    <row r="276" spans="1:3" x14ac:dyDescent="0.3">
      <c r="A276" s="10">
        <v>44793</v>
      </c>
      <c r="B276" s="11" t="s">
        <v>26</v>
      </c>
      <c r="C276" s="17">
        <v>360000</v>
      </c>
    </row>
    <row r="277" spans="1:3" hidden="1" x14ac:dyDescent="0.3">
      <c r="A277" s="10">
        <v>44814</v>
      </c>
      <c r="B277" s="11" t="s">
        <v>25</v>
      </c>
      <c r="C277" s="12" t="s">
        <v>303</v>
      </c>
    </row>
    <row r="278" spans="1:3" hidden="1" x14ac:dyDescent="0.3">
      <c r="A278" s="10">
        <v>44856</v>
      </c>
      <c r="B278" s="11" t="s">
        <v>24</v>
      </c>
      <c r="C278" s="12" t="s">
        <v>303</v>
      </c>
    </row>
    <row r="279" spans="1:3" x14ac:dyDescent="0.3">
      <c r="A279" s="10">
        <v>44877</v>
      </c>
      <c r="B279" s="11" t="s">
        <v>23</v>
      </c>
      <c r="C279" s="17">
        <v>600000</v>
      </c>
    </row>
    <row r="280" spans="1:3" hidden="1" x14ac:dyDescent="0.3">
      <c r="A280" s="10">
        <v>44905</v>
      </c>
      <c r="B280" s="11" t="s">
        <v>22</v>
      </c>
      <c r="C280" s="12" t="s">
        <v>303</v>
      </c>
    </row>
    <row r="281" spans="1:3" hidden="1" x14ac:dyDescent="0.3">
      <c r="A281" s="10">
        <v>44947</v>
      </c>
      <c r="B281" s="11" t="s">
        <v>21</v>
      </c>
      <c r="C281" s="12" t="s">
        <v>303</v>
      </c>
    </row>
    <row r="282" spans="1:3" hidden="1" x14ac:dyDescent="0.3">
      <c r="A282" s="10">
        <v>44969</v>
      </c>
      <c r="B282" s="11" t="s">
        <v>20</v>
      </c>
      <c r="C282" s="12" t="s">
        <v>303</v>
      </c>
    </row>
    <row r="283" spans="1:3" hidden="1" x14ac:dyDescent="0.3">
      <c r="A283" s="10">
        <v>44989</v>
      </c>
      <c r="B283" s="11" t="s">
        <v>19</v>
      </c>
      <c r="C283" s="12" t="s">
        <v>303</v>
      </c>
    </row>
    <row r="284" spans="1:3" hidden="1" x14ac:dyDescent="0.3">
      <c r="A284" s="10">
        <v>45003</v>
      </c>
      <c r="B284" s="11" t="s">
        <v>18</v>
      </c>
      <c r="C284" s="12" t="s">
        <v>303</v>
      </c>
    </row>
    <row r="285" spans="1:3" hidden="1" x14ac:dyDescent="0.3">
      <c r="A285" s="10">
        <v>45024</v>
      </c>
      <c r="B285" s="11" t="s">
        <v>17</v>
      </c>
      <c r="C285" s="12" t="s">
        <v>303</v>
      </c>
    </row>
    <row r="286" spans="1:3" hidden="1" x14ac:dyDescent="0.3">
      <c r="A286" s="10">
        <v>45052</v>
      </c>
      <c r="B286" s="11" t="s">
        <v>16</v>
      </c>
      <c r="C286" s="12" t="s">
        <v>303</v>
      </c>
    </row>
    <row r="287" spans="1:3" hidden="1" x14ac:dyDescent="0.3">
      <c r="A287" s="10">
        <v>45087</v>
      </c>
      <c r="B287" s="11" t="s">
        <v>15</v>
      </c>
      <c r="C287" s="12" t="s">
        <v>303</v>
      </c>
    </row>
    <row r="288" spans="1:3" hidden="1" x14ac:dyDescent="0.3">
      <c r="A288" s="10">
        <v>45115</v>
      </c>
      <c r="B288" s="11" t="s">
        <v>14</v>
      </c>
      <c r="C288" s="12" t="s">
        <v>303</v>
      </c>
    </row>
    <row r="289" spans="1:3" hidden="1" x14ac:dyDescent="0.3">
      <c r="A289" s="10">
        <v>45136</v>
      </c>
      <c r="B289" s="11" t="s">
        <v>13</v>
      </c>
      <c r="C289" s="12" t="s">
        <v>303</v>
      </c>
    </row>
    <row r="290" spans="1:3" hidden="1" x14ac:dyDescent="0.3">
      <c r="A290" s="10">
        <v>45157</v>
      </c>
      <c r="B290" s="11" t="s">
        <v>12</v>
      </c>
      <c r="C290" s="12" t="s">
        <v>303</v>
      </c>
    </row>
    <row r="291" spans="1:3" hidden="1" x14ac:dyDescent="0.3">
      <c r="A291" s="10">
        <v>45179</v>
      </c>
      <c r="B291" s="11" t="s">
        <v>11</v>
      </c>
      <c r="C291" s="12" t="s">
        <v>303</v>
      </c>
    </row>
    <row r="292" spans="1:3" hidden="1" x14ac:dyDescent="0.3">
      <c r="A292" s="10">
        <v>45220</v>
      </c>
      <c r="B292" s="11" t="s">
        <v>10</v>
      </c>
      <c r="C292" s="12" t="s">
        <v>303</v>
      </c>
    </row>
    <row r="293" spans="1:3" hidden="1" x14ac:dyDescent="0.3">
      <c r="A293" s="10">
        <v>45241</v>
      </c>
      <c r="B293" s="11" t="s">
        <v>9</v>
      </c>
      <c r="C293" s="12" t="s">
        <v>303</v>
      </c>
    </row>
    <row r="294" spans="1:3" hidden="1" x14ac:dyDescent="0.3">
      <c r="A294" s="10">
        <v>45276</v>
      </c>
      <c r="B294" s="11" t="s">
        <v>8</v>
      </c>
      <c r="C294" s="12" t="s">
        <v>303</v>
      </c>
    </row>
    <row r="295" spans="1:3" hidden="1" x14ac:dyDescent="0.3">
      <c r="A295" s="10">
        <v>45311</v>
      </c>
      <c r="B295" s="11" t="s">
        <v>7</v>
      </c>
      <c r="C295" s="12" t="s">
        <v>303</v>
      </c>
    </row>
    <row r="296" spans="1:3" hidden="1" x14ac:dyDescent="0.3">
      <c r="A296" s="10">
        <v>45339</v>
      </c>
      <c r="B296" s="11" t="s">
        <v>6</v>
      </c>
      <c r="C296" s="12" t="s">
        <v>303</v>
      </c>
    </row>
    <row r="297" spans="1:3" hidden="1" x14ac:dyDescent="0.3">
      <c r="A297" s="10">
        <v>45360</v>
      </c>
      <c r="B297" s="11" t="s">
        <v>5</v>
      </c>
      <c r="C297" s="12" t="s">
        <v>303</v>
      </c>
    </row>
    <row r="298" spans="1:3" hidden="1" x14ac:dyDescent="0.3">
      <c r="A298" s="10">
        <v>45395</v>
      </c>
      <c r="B298" s="11" t="s">
        <v>4</v>
      </c>
      <c r="C298" s="12" t="s">
        <v>303</v>
      </c>
    </row>
    <row r="299" spans="1:3" hidden="1" x14ac:dyDescent="0.3">
      <c r="A299" s="10">
        <v>45416</v>
      </c>
      <c r="B299" s="11" t="s">
        <v>3</v>
      </c>
      <c r="C299" s="12" t="s">
        <v>303</v>
      </c>
    </row>
    <row r="300" spans="1:3" hidden="1" x14ac:dyDescent="0.3">
      <c r="A300" s="10">
        <v>45444</v>
      </c>
      <c r="B300" s="11" t="s">
        <v>2</v>
      </c>
      <c r="C300" s="12" t="s">
        <v>303</v>
      </c>
    </row>
    <row r="301" spans="1:3" hidden="1" x14ac:dyDescent="0.3">
      <c r="A301" s="10">
        <v>45472</v>
      </c>
      <c r="B301" s="11" t="s">
        <v>1</v>
      </c>
      <c r="C301" s="12" t="s">
        <v>303</v>
      </c>
    </row>
  </sheetData>
  <mergeCells count="2">
    <mergeCell ref="D24:D26"/>
    <mergeCell ref="D28:D35"/>
  </mergeCells>
  <conditionalFormatting sqref="C1">
    <cfRule type="containsText" dxfId="4" priority="2" operator="containsText" text="Not Disclosed">
      <formula>NOT(ISERROR(SEARCH("Not Disclosed",C1)))</formula>
    </cfRule>
    <cfRule type="containsText" dxfId="3" priority="3" operator="containsText" text="N/A">
      <formula>NOT(ISERROR(SEARCH("N/A",C1)))</formula>
    </cfRule>
  </conditionalFormatting>
  <conditionalFormatting sqref="C2:C1048576">
    <cfRule type="cellIs" dxfId="2" priority="1" operator="greaterThan">
      <formula>1000000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FCE77-CAC4-4268-A0D1-B8DF7FA424DD}">
  <sheetPr codeName="Sheet7"/>
  <dimension ref="A1:E228"/>
  <sheetViews>
    <sheetView showGridLines="0" tabSelected="1" zoomScale="115" zoomScaleNormal="115" workbookViewId="0">
      <selection activeCell="C225" sqref="C225:C228"/>
    </sheetView>
  </sheetViews>
  <sheetFormatPr defaultRowHeight="18.75" x14ac:dyDescent="0.3"/>
  <cols>
    <col min="1" max="1" width="14.5703125" style="11" bestFit="1" customWidth="1"/>
    <col min="2" max="2" width="43.42578125" style="1" bestFit="1" customWidth="1"/>
    <col min="3" max="3" width="13.7109375" style="18" bestFit="1" customWidth="1"/>
    <col min="4" max="4" width="9.85546875" style="1" bestFit="1" customWidth="1"/>
    <col min="5" max="5" width="17.140625" style="1" bestFit="1" customWidth="1"/>
    <col min="6" max="6" width="4.85546875" style="1" bestFit="1" customWidth="1"/>
    <col min="7" max="16384" width="9.140625" style="1"/>
  </cols>
  <sheetData>
    <row r="1" spans="1:5" s="3" customFormat="1" ht="19.5" thickBot="1" x14ac:dyDescent="0.35">
      <c r="A1" s="9" t="s">
        <v>301</v>
      </c>
      <c r="B1" s="9" t="s">
        <v>300</v>
      </c>
      <c r="C1" s="16" t="s">
        <v>302</v>
      </c>
    </row>
    <row r="2" spans="1:5" hidden="1" x14ac:dyDescent="0.3">
      <c r="A2" s="10">
        <v>34285</v>
      </c>
      <c r="B2" s="11" t="s">
        <v>299</v>
      </c>
      <c r="C2" s="12">
        <v>86000</v>
      </c>
      <c r="D2" s="2"/>
      <c r="E2" s="2"/>
    </row>
    <row r="3" spans="1:5" hidden="1" x14ac:dyDescent="0.3">
      <c r="A3" s="10">
        <v>34404</v>
      </c>
      <c r="B3" s="11" t="s">
        <v>298</v>
      </c>
      <c r="C3" s="12">
        <v>300000</v>
      </c>
      <c r="D3" s="2"/>
    </row>
    <row r="4" spans="1:5" ht="16.5" hidden="1" customHeight="1" x14ac:dyDescent="0.3">
      <c r="A4" s="10">
        <v>34586</v>
      </c>
      <c r="B4" s="11" t="s">
        <v>297</v>
      </c>
      <c r="C4" s="12">
        <v>90000</v>
      </c>
      <c r="D4" s="2"/>
    </row>
    <row r="5" spans="1:5" hidden="1" x14ac:dyDescent="0.3">
      <c r="A5" s="10">
        <v>34684</v>
      </c>
      <c r="B5" s="11" t="s">
        <v>296</v>
      </c>
      <c r="C5" s="12">
        <v>120000</v>
      </c>
      <c r="D5" s="2"/>
    </row>
    <row r="6" spans="1:5" hidden="1" x14ac:dyDescent="0.3">
      <c r="A6" s="10">
        <v>34796</v>
      </c>
      <c r="B6" s="11" t="s">
        <v>295</v>
      </c>
      <c r="C6" s="12">
        <v>260000</v>
      </c>
      <c r="D6" s="2"/>
    </row>
    <row r="7" spans="1:5" hidden="1" x14ac:dyDescent="0.3">
      <c r="A7" s="10">
        <v>34894</v>
      </c>
      <c r="B7" s="11" t="s">
        <v>294</v>
      </c>
      <c r="C7" s="12">
        <v>240000</v>
      </c>
      <c r="D7" s="2"/>
    </row>
    <row r="8" spans="1:5" hidden="1" x14ac:dyDescent="0.3">
      <c r="A8" s="10">
        <v>34950</v>
      </c>
      <c r="B8" s="11" t="s">
        <v>293</v>
      </c>
      <c r="C8" s="12">
        <v>190000</v>
      </c>
      <c r="D8" s="2"/>
    </row>
    <row r="9" spans="1:5" hidden="1" x14ac:dyDescent="0.3">
      <c r="A9" s="10">
        <v>35111</v>
      </c>
      <c r="B9" s="11" t="s">
        <v>292</v>
      </c>
      <c r="C9" s="12">
        <v>300000</v>
      </c>
      <c r="D9" s="2"/>
    </row>
    <row r="10" spans="1:5" hidden="1" x14ac:dyDescent="0.3">
      <c r="A10" s="10">
        <v>35202</v>
      </c>
      <c r="B10" s="11" t="s">
        <v>291</v>
      </c>
      <c r="C10" s="12">
        <v>141000</v>
      </c>
      <c r="D10" s="2"/>
    </row>
    <row r="11" spans="1:5" hidden="1" x14ac:dyDescent="0.3">
      <c r="A11" s="10">
        <v>35258</v>
      </c>
      <c r="B11" s="11" t="s">
        <v>290</v>
      </c>
      <c r="C11" s="12">
        <v>96000</v>
      </c>
      <c r="D11" s="4"/>
    </row>
    <row r="12" spans="1:5" hidden="1" x14ac:dyDescent="0.3">
      <c r="A12" s="10">
        <v>35328</v>
      </c>
      <c r="B12" s="11" t="s">
        <v>289</v>
      </c>
      <c r="C12" s="12">
        <v>92000</v>
      </c>
      <c r="D12" s="2"/>
    </row>
    <row r="13" spans="1:5" hidden="1" x14ac:dyDescent="0.3">
      <c r="A13" s="10">
        <v>35468</v>
      </c>
      <c r="B13" s="11" t="s">
        <v>288</v>
      </c>
      <c r="C13" s="12">
        <v>122000</v>
      </c>
      <c r="D13" s="2"/>
    </row>
    <row r="14" spans="1:5" hidden="1" x14ac:dyDescent="0.3">
      <c r="A14" s="10">
        <v>37162</v>
      </c>
      <c r="B14" s="11" t="s">
        <v>267</v>
      </c>
      <c r="C14" s="12">
        <v>75000</v>
      </c>
      <c r="D14" s="19"/>
    </row>
    <row r="15" spans="1:5" hidden="1" x14ac:dyDescent="0.3">
      <c r="A15" s="10">
        <v>37197</v>
      </c>
      <c r="B15" s="11" t="s">
        <v>266</v>
      </c>
      <c r="C15" s="12">
        <v>65000</v>
      </c>
      <c r="D15" s="19"/>
    </row>
    <row r="16" spans="1:5" hidden="1" x14ac:dyDescent="0.3">
      <c r="A16" s="10">
        <v>37267</v>
      </c>
      <c r="B16" s="11" t="s">
        <v>265</v>
      </c>
      <c r="C16" s="12">
        <v>35000</v>
      </c>
      <c r="D16" s="2"/>
    </row>
    <row r="17" spans="1:4" hidden="1" x14ac:dyDescent="0.3">
      <c r="A17" s="10">
        <v>37337</v>
      </c>
      <c r="B17" s="11" t="s">
        <v>264</v>
      </c>
      <c r="C17" s="12">
        <v>55000</v>
      </c>
      <c r="D17" s="2"/>
    </row>
    <row r="18" spans="1:4" hidden="1" x14ac:dyDescent="0.3">
      <c r="A18" s="10">
        <v>37386</v>
      </c>
      <c r="B18" s="11" t="s">
        <v>263</v>
      </c>
      <c r="C18" s="12">
        <v>50000</v>
      </c>
      <c r="D18" s="2"/>
    </row>
    <row r="19" spans="1:4" hidden="1" x14ac:dyDescent="0.3">
      <c r="A19" s="10">
        <v>37450</v>
      </c>
      <c r="B19" s="11" t="s">
        <v>262</v>
      </c>
      <c r="C19" s="12">
        <v>45000</v>
      </c>
      <c r="D19" s="2"/>
    </row>
    <row r="20" spans="1:4" hidden="1" x14ac:dyDescent="0.3">
      <c r="A20" s="10">
        <v>37526</v>
      </c>
      <c r="B20" s="11" t="s">
        <v>261</v>
      </c>
      <c r="C20" s="12">
        <v>45000</v>
      </c>
      <c r="D20" s="2"/>
    </row>
    <row r="21" spans="1:4" hidden="1" x14ac:dyDescent="0.3">
      <c r="A21" s="10">
        <v>37582</v>
      </c>
      <c r="B21" s="11" t="s">
        <v>260</v>
      </c>
      <c r="C21" s="12">
        <v>100000</v>
      </c>
      <c r="D21" s="2"/>
    </row>
    <row r="22" spans="1:4" hidden="1" x14ac:dyDescent="0.3">
      <c r="A22" s="10">
        <v>37680</v>
      </c>
      <c r="B22" s="11" t="s">
        <v>259</v>
      </c>
      <c r="C22" s="12">
        <v>60000</v>
      </c>
      <c r="D22" s="4"/>
    </row>
    <row r="23" spans="1:4" hidden="1" x14ac:dyDescent="0.3">
      <c r="A23" s="10">
        <v>37736</v>
      </c>
      <c r="B23" s="11" t="s">
        <v>258</v>
      </c>
      <c r="C23" s="12">
        <v>35000</v>
      </c>
      <c r="D23" s="2"/>
    </row>
    <row r="24" spans="1:4" hidden="1" x14ac:dyDescent="0.3">
      <c r="A24" s="10">
        <v>37778</v>
      </c>
      <c r="B24" s="11" t="s">
        <v>257</v>
      </c>
      <c r="C24" s="12">
        <v>49000</v>
      </c>
      <c r="D24" s="2"/>
    </row>
    <row r="25" spans="1:4" hidden="1" x14ac:dyDescent="0.3">
      <c r="A25" s="10">
        <v>37890</v>
      </c>
      <c r="B25" s="11" t="s">
        <v>256</v>
      </c>
      <c r="C25" s="12">
        <v>94000</v>
      </c>
      <c r="D25" s="2"/>
    </row>
    <row r="26" spans="1:4" hidden="1" x14ac:dyDescent="0.3">
      <c r="A26" s="10">
        <v>37946</v>
      </c>
      <c r="B26" s="11" t="s">
        <v>255</v>
      </c>
      <c r="C26" s="12">
        <v>40000</v>
      </c>
      <c r="D26" s="2"/>
    </row>
    <row r="27" spans="1:4" hidden="1" x14ac:dyDescent="0.3">
      <c r="A27" s="10">
        <v>38017</v>
      </c>
      <c r="B27" s="11" t="s">
        <v>254</v>
      </c>
      <c r="C27" s="12">
        <v>80000</v>
      </c>
      <c r="D27" s="2"/>
    </row>
    <row r="28" spans="1:4" hidden="1" x14ac:dyDescent="0.3">
      <c r="A28" s="10">
        <v>38079</v>
      </c>
      <c r="B28" s="11" t="s">
        <v>253</v>
      </c>
      <c r="C28" s="12">
        <v>105000</v>
      </c>
      <c r="D28" s="2"/>
    </row>
    <row r="29" spans="1:4" hidden="1" x14ac:dyDescent="0.3">
      <c r="A29" s="10">
        <v>38157</v>
      </c>
      <c r="B29" s="11" t="s">
        <v>252</v>
      </c>
      <c r="C29" s="12">
        <v>110000</v>
      </c>
      <c r="D29" s="2"/>
    </row>
    <row r="30" spans="1:4" hidden="1" x14ac:dyDescent="0.3">
      <c r="A30" s="10">
        <v>38220</v>
      </c>
      <c r="B30" s="11" t="s">
        <v>251</v>
      </c>
      <c r="C30" s="12">
        <v>80000</v>
      </c>
      <c r="D30" s="2"/>
    </row>
    <row r="31" spans="1:4" hidden="1" x14ac:dyDescent="0.3">
      <c r="A31" s="10">
        <v>38282</v>
      </c>
      <c r="B31" s="11" t="s">
        <v>250</v>
      </c>
      <c r="C31" s="12">
        <v>40000</v>
      </c>
      <c r="D31" s="2"/>
    </row>
    <row r="32" spans="1:4" hidden="1" x14ac:dyDescent="0.3">
      <c r="A32" s="10">
        <v>38388</v>
      </c>
      <c r="B32" s="11" t="s">
        <v>249</v>
      </c>
      <c r="C32" s="17">
        <v>105000</v>
      </c>
      <c r="D32" s="2"/>
    </row>
    <row r="33" spans="1:4" hidden="1" x14ac:dyDescent="0.3">
      <c r="A33" s="10">
        <v>38458</v>
      </c>
      <c r="B33" s="11" t="s">
        <v>248</v>
      </c>
      <c r="C33" s="17">
        <v>280000</v>
      </c>
      <c r="D33" s="2"/>
    </row>
    <row r="34" spans="1:4" hidden="1" x14ac:dyDescent="0.3">
      <c r="A34" s="10">
        <v>38507</v>
      </c>
      <c r="B34" s="11" t="s">
        <v>247</v>
      </c>
      <c r="C34" s="17">
        <v>90000</v>
      </c>
      <c r="D34" s="2"/>
    </row>
    <row r="35" spans="1:4" hidden="1" x14ac:dyDescent="0.3">
      <c r="A35" s="10">
        <v>38584</v>
      </c>
      <c r="B35" s="11" t="s">
        <v>246</v>
      </c>
      <c r="C35" s="17">
        <v>150000</v>
      </c>
      <c r="D35" s="2"/>
    </row>
    <row r="36" spans="1:4" hidden="1" x14ac:dyDescent="0.3">
      <c r="A36" s="10">
        <v>38632</v>
      </c>
      <c r="B36" s="11" t="s">
        <v>245</v>
      </c>
      <c r="C36" s="17">
        <v>125000</v>
      </c>
      <c r="D36" s="2"/>
    </row>
    <row r="37" spans="1:4" hidden="1" x14ac:dyDescent="0.3">
      <c r="A37" s="10">
        <v>38675</v>
      </c>
      <c r="B37" s="11" t="s">
        <v>244</v>
      </c>
      <c r="C37" s="17">
        <v>200000</v>
      </c>
      <c r="D37" s="2"/>
    </row>
    <row r="38" spans="1:4" hidden="1" x14ac:dyDescent="0.3">
      <c r="A38" s="10">
        <v>38752</v>
      </c>
      <c r="B38" s="11" t="s">
        <v>243</v>
      </c>
      <c r="C38" s="12">
        <v>400000</v>
      </c>
      <c r="D38" s="2"/>
    </row>
    <row r="39" spans="1:4" hidden="1" x14ac:dyDescent="0.3">
      <c r="A39" s="10">
        <v>38780</v>
      </c>
      <c r="B39" s="11" t="s">
        <v>242</v>
      </c>
      <c r="C39" s="12">
        <v>300000</v>
      </c>
      <c r="D39" s="2"/>
    </row>
    <row r="40" spans="1:4" hidden="1" x14ac:dyDescent="0.3">
      <c r="A40" s="10">
        <v>38822</v>
      </c>
      <c r="B40" s="11" t="s">
        <v>241</v>
      </c>
      <c r="C40" s="12">
        <v>425000</v>
      </c>
      <c r="D40" s="2"/>
    </row>
    <row r="41" spans="1:4" hidden="1" x14ac:dyDescent="0.3">
      <c r="A41" s="10">
        <v>38864</v>
      </c>
      <c r="B41" s="11" t="s">
        <v>240</v>
      </c>
      <c r="C41" s="12">
        <v>620000</v>
      </c>
      <c r="D41" s="2"/>
    </row>
    <row r="42" spans="1:4" hidden="1" x14ac:dyDescent="0.3">
      <c r="A42" s="10">
        <v>38906</v>
      </c>
      <c r="B42" s="11" t="s">
        <v>239</v>
      </c>
      <c r="C42" s="12">
        <v>775000</v>
      </c>
      <c r="D42" s="2"/>
    </row>
    <row r="43" spans="1:4" hidden="1" x14ac:dyDescent="0.3">
      <c r="A43" s="10">
        <v>38955</v>
      </c>
      <c r="B43" s="11" t="s">
        <v>238</v>
      </c>
      <c r="C43" s="12">
        <v>500000</v>
      </c>
      <c r="D43" s="2"/>
    </row>
    <row r="44" spans="1:4" hidden="1" x14ac:dyDescent="0.3">
      <c r="A44" s="10">
        <v>38983</v>
      </c>
      <c r="B44" s="11" t="s">
        <v>237</v>
      </c>
      <c r="C44" s="12">
        <v>400000</v>
      </c>
      <c r="D44" s="2"/>
    </row>
    <row r="45" spans="1:4" hidden="1" x14ac:dyDescent="0.3">
      <c r="A45" s="10">
        <v>39004</v>
      </c>
      <c r="B45" s="11" t="s">
        <v>236</v>
      </c>
      <c r="C45" s="12">
        <v>300000</v>
      </c>
      <c r="D45" s="2"/>
    </row>
    <row r="46" spans="1:4" hidden="1" x14ac:dyDescent="0.3">
      <c r="A46" s="10">
        <v>39039</v>
      </c>
      <c r="B46" s="11" t="s">
        <v>235</v>
      </c>
      <c r="C46" s="12">
        <v>500000</v>
      </c>
      <c r="D46" s="2"/>
    </row>
    <row r="47" spans="1:4" hidden="1" x14ac:dyDescent="0.3">
      <c r="A47" s="10">
        <v>39081</v>
      </c>
      <c r="B47" s="11" t="s">
        <v>234</v>
      </c>
      <c r="C47" s="12">
        <v>929000</v>
      </c>
      <c r="D47" s="2"/>
    </row>
    <row r="48" spans="1:4" hidden="1" x14ac:dyDescent="0.3">
      <c r="A48" s="10">
        <v>39116</v>
      </c>
      <c r="B48" s="11" t="s">
        <v>233</v>
      </c>
      <c r="C48" s="12">
        <v>350000</v>
      </c>
      <c r="D48" s="2"/>
    </row>
    <row r="49" spans="1:4" hidden="1" x14ac:dyDescent="0.3">
      <c r="A49" s="10">
        <v>39144</v>
      </c>
      <c r="B49" s="11" t="s">
        <v>232</v>
      </c>
      <c r="C49" s="12">
        <v>534000</v>
      </c>
      <c r="D49" s="2"/>
    </row>
    <row r="50" spans="1:4" hidden="1" x14ac:dyDescent="0.3">
      <c r="A50" s="10">
        <v>39179</v>
      </c>
      <c r="B50" s="11" t="s">
        <v>231</v>
      </c>
      <c r="C50" s="12">
        <v>400000</v>
      </c>
      <c r="D50" s="2"/>
    </row>
    <row r="51" spans="1:4" hidden="1" x14ac:dyDescent="0.3">
      <c r="A51" s="10">
        <v>39228</v>
      </c>
      <c r="B51" s="11" t="s">
        <v>229</v>
      </c>
      <c r="C51" s="12">
        <v>675000</v>
      </c>
      <c r="D51" s="2"/>
    </row>
    <row r="52" spans="1:4" hidden="1" x14ac:dyDescent="0.3">
      <c r="A52" s="10">
        <v>39249</v>
      </c>
      <c r="B52" s="11" t="s">
        <v>228</v>
      </c>
      <c r="C52" s="12">
        <v>200000</v>
      </c>
      <c r="D52" s="2"/>
    </row>
    <row r="53" spans="1:4" hidden="1" x14ac:dyDescent="0.3">
      <c r="A53" s="10">
        <v>39270</v>
      </c>
      <c r="B53" s="11" t="s">
        <v>227</v>
      </c>
      <c r="C53" s="12">
        <v>425000</v>
      </c>
      <c r="D53" s="2"/>
    </row>
    <row r="54" spans="1:4" hidden="1" x14ac:dyDescent="0.3">
      <c r="A54" s="10">
        <v>39319</v>
      </c>
      <c r="B54" s="11" t="s">
        <v>226</v>
      </c>
      <c r="C54" s="12">
        <v>520000</v>
      </c>
      <c r="D54" s="2"/>
    </row>
    <row r="55" spans="1:4" hidden="1" x14ac:dyDescent="0.3">
      <c r="A55" s="10">
        <v>39347</v>
      </c>
      <c r="B55" s="11" t="s">
        <v>224</v>
      </c>
      <c r="C55" s="12">
        <v>475000</v>
      </c>
      <c r="D55" s="2"/>
    </row>
    <row r="56" spans="1:4" hidden="1" x14ac:dyDescent="0.3">
      <c r="A56" s="10">
        <v>39375</v>
      </c>
      <c r="B56" s="11" t="s">
        <v>223</v>
      </c>
      <c r="C56" s="12">
        <v>325000</v>
      </c>
      <c r="D56" s="2"/>
    </row>
    <row r="57" spans="1:4" hidden="1" x14ac:dyDescent="0.3">
      <c r="A57" s="10">
        <v>39403</v>
      </c>
      <c r="B57" s="11" t="s">
        <v>222</v>
      </c>
      <c r="C57" s="12">
        <v>400000</v>
      </c>
      <c r="D57" s="2"/>
    </row>
    <row r="58" spans="1:4" hidden="1" x14ac:dyDescent="0.3">
      <c r="A58" s="10">
        <v>39445</v>
      </c>
      <c r="B58" s="11" t="s">
        <v>221</v>
      </c>
      <c r="C58" s="12">
        <v>650000</v>
      </c>
      <c r="D58" s="2"/>
    </row>
    <row r="59" spans="1:4" hidden="1" x14ac:dyDescent="0.3">
      <c r="A59" s="10">
        <v>39466</v>
      </c>
      <c r="B59" s="11" t="s">
        <v>220</v>
      </c>
      <c r="C59" s="12">
        <v>225000</v>
      </c>
      <c r="D59" s="2"/>
    </row>
    <row r="60" spans="1:4" hidden="1" x14ac:dyDescent="0.3">
      <c r="A60" s="10">
        <v>39480</v>
      </c>
      <c r="B60" s="11" t="s">
        <v>219</v>
      </c>
      <c r="C60" s="12">
        <v>650000</v>
      </c>
      <c r="D60" s="2"/>
    </row>
    <row r="61" spans="1:4" hidden="1" x14ac:dyDescent="0.3">
      <c r="A61" s="10">
        <v>39508</v>
      </c>
      <c r="B61" s="11" t="s">
        <v>218</v>
      </c>
      <c r="C61" s="12">
        <v>325000</v>
      </c>
      <c r="D61" s="2"/>
    </row>
    <row r="62" spans="1:4" hidden="1" x14ac:dyDescent="0.3">
      <c r="A62" s="10">
        <v>39557</v>
      </c>
      <c r="B62" s="11" t="s">
        <v>217</v>
      </c>
      <c r="C62" s="12">
        <v>530000</v>
      </c>
      <c r="D62" s="2"/>
    </row>
    <row r="63" spans="1:4" hidden="1" x14ac:dyDescent="0.3">
      <c r="A63" s="10">
        <v>39592</v>
      </c>
      <c r="B63" s="11" t="s">
        <v>216</v>
      </c>
      <c r="C63" s="12">
        <v>475000</v>
      </c>
      <c r="D63" s="2"/>
    </row>
    <row r="64" spans="1:4" hidden="1" x14ac:dyDescent="0.3">
      <c r="A64" s="10">
        <v>39606</v>
      </c>
      <c r="B64" s="11" t="s">
        <v>215</v>
      </c>
      <c r="C64" s="12">
        <v>215000</v>
      </c>
      <c r="D64" s="2"/>
    </row>
    <row r="65" spans="1:4" hidden="1" x14ac:dyDescent="0.3">
      <c r="A65" s="10">
        <v>39634</v>
      </c>
      <c r="B65" s="11" t="s">
        <v>214</v>
      </c>
      <c r="C65" s="12">
        <v>540000</v>
      </c>
      <c r="D65" s="2"/>
    </row>
    <row r="66" spans="1:4" hidden="1" x14ac:dyDescent="0.3">
      <c r="A66" s="10">
        <v>39669</v>
      </c>
      <c r="B66" s="11" t="s">
        <v>213</v>
      </c>
      <c r="C66" s="12">
        <v>625000</v>
      </c>
      <c r="D66" s="2"/>
    </row>
    <row r="67" spans="1:4" hidden="1" x14ac:dyDescent="0.3">
      <c r="A67" s="10">
        <v>39697</v>
      </c>
      <c r="B67" s="11" t="s">
        <v>212</v>
      </c>
      <c r="C67" s="12">
        <v>480000</v>
      </c>
      <c r="D67" s="2"/>
    </row>
    <row r="68" spans="1:4" hidden="1" x14ac:dyDescent="0.3">
      <c r="A68" s="10">
        <v>39746</v>
      </c>
      <c r="B68" s="11" t="s">
        <v>210</v>
      </c>
      <c r="C68" s="12">
        <v>300000</v>
      </c>
      <c r="D68" s="2"/>
    </row>
    <row r="69" spans="1:4" hidden="1" x14ac:dyDescent="0.3">
      <c r="A69" s="10">
        <v>39767</v>
      </c>
      <c r="B69" s="11" t="s">
        <v>209</v>
      </c>
      <c r="C69" s="12">
        <v>1010000</v>
      </c>
      <c r="D69" s="2"/>
    </row>
    <row r="70" spans="1:4" hidden="1" x14ac:dyDescent="0.3">
      <c r="A70" s="10">
        <v>39809</v>
      </c>
      <c r="B70" s="11" t="s">
        <v>208</v>
      </c>
      <c r="C70" s="12">
        <v>1000000</v>
      </c>
      <c r="D70" s="2"/>
    </row>
    <row r="71" spans="1:4" hidden="1" x14ac:dyDescent="0.3">
      <c r="A71" s="10">
        <v>39830</v>
      </c>
      <c r="B71" s="11" t="s">
        <v>207</v>
      </c>
      <c r="C71" s="12">
        <v>350000</v>
      </c>
      <c r="D71" s="2"/>
    </row>
    <row r="72" spans="1:4" hidden="1" x14ac:dyDescent="0.3">
      <c r="A72" s="10">
        <v>39844</v>
      </c>
      <c r="B72" s="11" t="s">
        <v>206</v>
      </c>
      <c r="C72" s="12">
        <v>920000</v>
      </c>
      <c r="D72" s="2"/>
    </row>
    <row r="73" spans="1:4" hidden="1" x14ac:dyDescent="0.3">
      <c r="A73" s="10">
        <v>39879</v>
      </c>
      <c r="B73" s="11" t="s">
        <v>204</v>
      </c>
      <c r="C73" s="12">
        <v>350000</v>
      </c>
      <c r="D73" s="2"/>
    </row>
    <row r="74" spans="1:4" hidden="1" x14ac:dyDescent="0.3">
      <c r="A74" s="10">
        <v>39921</v>
      </c>
      <c r="B74" s="11" t="s">
        <v>203</v>
      </c>
      <c r="C74" s="12">
        <v>650000</v>
      </c>
      <c r="D74" s="2"/>
    </row>
    <row r="75" spans="1:4" hidden="1" x14ac:dyDescent="0.3">
      <c r="A75" s="10">
        <v>39956</v>
      </c>
      <c r="B75" s="11" t="s">
        <v>202</v>
      </c>
      <c r="C75" s="12">
        <v>635000</v>
      </c>
      <c r="D75" s="2"/>
    </row>
    <row r="76" spans="1:4" hidden="1" x14ac:dyDescent="0.3">
      <c r="A76" s="10">
        <v>39977</v>
      </c>
      <c r="B76" s="11" t="s">
        <v>201</v>
      </c>
      <c r="C76" s="12">
        <v>360000</v>
      </c>
      <c r="D76" s="2"/>
    </row>
    <row r="77" spans="1:4" hidden="1" x14ac:dyDescent="0.3">
      <c r="A77" s="10">
        <v>40005</v>
      </c>
      <c r="B77" s="11" t="s">
        <v>0</v>
      </c>
      <c r="C77" s="12">
        <v>1600000</v>
      </c>
      <c r="D77" s="5"/>
    </row>
    <row r="78" spans="1:4" hidden="1" x14ac:dyDescent="0.3">
      <c r="A78" s="10">
        <v>40033</v>
      </c>
      <c r="B78" s="11" t="s">
        <v>200</v>
      </c>
      <c r="C78" s="12">
        <v>850000</v>
      </c>
      <c r="D78" s="2"/>
    </row>
    <row r="79" spans="1:4" hidden="1" x14ac:dyDescent="0.3">
      <c r="A79" s="10">
        <v>40054</v>
      </c>
      <c r="B79" s="11" t="s">
        <v>199</v>
      </c>
      <c r="C79" s="12">
        <v>435000</v>
      </c>
      <c r="D79" s="2"/>
    </row>
    <row r="80" spans="1:4" hidden="1" x14ac:dyDescent="0.3">
      <c r="A80" s="10">
        <v>40075</v>
      </c>
      <c r="B80" s="11" t="s">
        <v>198</v>
      </c>
      <c r="C80" s="12">
        <v>375000</v>
      </c>
      <c r="D80" s="2"/>
    </row>
    <row r="81" spans="1:4" hidden="1" x14ac:dyDescent="0.3">
      <c r="A81" s="10">
        <v>40110</v>
      </c>
      <c r="B81" s="11" t="s">
        <v>197</v>
      </c>
      <c r="C81" s="12">
        <v>500000</v>
      </c>
      <c r="D81" s="2"/>
    </row>
    <row r="82" spans="1:4" hidden="1" x14ac:dyDescent="0.3">
      <c r="A82" s="10">
        <v>40138</v>
      </c>
      <c r="B82" s="11" t="s">
        <v>195</v>
      </c>
      <c r="C82" s="12">
        <v>375000</v>
      </c>
      <c r="D82" s="2"/>
    </row>
    <row r="83" spans="1:4" hidden="1" x14ac:dyDescent="0.3">
      <c r="A83" s="10">
        <v>40159</v>
      </c>
      <c r="B83" s="11" t="s">
        <v>194</v>
      </c>
      <c r="C83" s="12">
        <v>620000</v>
      </c>
      <c r="D83" s="2"/>
    </row>
    <row r="84" spans="1:4" hidden="1" x14ac:dyDescent="0.3">
      <c r="A84" s="10">
        <v>40180</v>
      </c>
      <c r="B84" s="11" t="s">
        <v>193</v>
      </c>
      <c r="C84" s="12">
        <v>300000</v>
      </c>
      <c r="D84" s="2"/>
    </row>
    <row r="85" spans="1:4" hidden="1" x14ac:dyDescent="0.3">
      <c r="A85" s="10">
        <v>40215</v>
      </c>
      <c r="B85" s="11" t="s">
        <v>192</v>
      </c>
      <c r="C85" s="12">
        <v>275000</v>
      </c>
      <c r="D85" s="2"/>
    </row>
    <row r="86" spans="1:4" hidden="1" x14ac:dyDescent="0.3">
      <c r="A86" s="10">
        <v>40230</v>
      </c>
      <c r="B86" s="11" t="s">
        <v>191</v>
      </c>
      <c r="C86" s="12">
        <v>240000</v>
      </c>
      <c r="D86" s="2"/>
    </row>
    <row r="87" spans="1:4" hidden="1" x14ac:dyDescent="0.3">
      <c r="A87" s="10">
        <v>40264</v>
      </c>
      <c r="B87" s="11" t="s">
        <v>190</v>
      </c>
      <c r="C87" s="12">
        <v>770000</v>
      </c>
      <c r="D87" s="2"/>
    </row>
    <row r="88" spans="1:4" hidden="1" x14ac:dyDescent="0.3">
      <c r="A88" s="10">
        <v>40278</v>
      </c>
      <c r="B88" s="11" t="s">
        <v>189</v>
      </c>
      <c r="C88" s="12">
        <v>500000</v>
      </c>
      <c r="D88" s="2"/>
    </row>
    <row r="89" spans="1:4" hidden="1" x14ac:dyDescent="0.3">
      <c r="A89" s="10">
        <v>40306</v>
      </c>
      <c r="B89" s="11" t="s">
        <v>188</v>
      </c>
      <c r="C89" s="12">
        <v>520000</v>
      </c>
      <c r="D89" s="2"/>
    </row>
    <row r="90" spans="1:4" hidden="1" x14ac:dyDescent="0.3">
      <c r="A90" s="10">
        <v>40327</v>
      </c>
      <c r="B90" s="11" t="s">
        <v>187</v>
      </c>
      <c r="C90" s="12">
        <v>1050000</v>
      </c>
      <c r="D90" s="2"/>
    </row>
    <row r="91" spans="1:4" hidden="1" x14ac:dyDescent="0.3">
      <c r="A91" s="10">
        <v>40341</v>
      </c>
      <c r="B91" s="11" t="s">
        <v>186</v>
      </c>
      <c r="C91" s="12">
        <v>520000</v>
      </c>
      <c r="D91" s="2"/>
    </row>
    <row r="92" spans="1:4" hidden="1" x14ac:dyDescent="0.3">
      <c r="A92" s="10">
        <v>40362</v>
      </c>
      <c r="B92" s="11" t="s">
        <v>185</v>
      </c>
      <c r="C92" s="12">
        <v>1160000</v>
      </c>
      <c r="D92" s="2"/>
    </row>
    <row r="93" spans="1:4" hidden="1" x14ac:dyDescent="0.3">
      <c r="A93" s="10">
        <v>40397</v>
      </c>
      <c r="B93" s="11" t="s">
        <v>184</v>
      </c>
      <c r="C93" s="12">
        <v>600000</v>
      </c>
      <c r="D93" s="2"/>
    </row>
    <row r="94" spans="1:4" hidden="1" x14ac:dyDescent="0.3">
      <c r="A94" s="10">
        <v>40418</v>
      </c>
      <c r="B94" s="11" t="s">
        <v>183</v>
      </c>
      <c r="C94" s="12">
        <v>570000</v>
      </c>
      <c r="D94" s="2"/>
    </row>
    <row r="95" spans="1:4" hidden="1" x14ac:dyDescent="0.3">
      <c r="A95" s="10">
        <v>40446</v>
      </c>
      <c r="B95" s="11" t="s">
        <v>182</v>
      </c>
      <c r="C95" s="12">
        <v>295000</v>
      </c>
      <c r="D95" s="2"/>
    </row>
    <row r="96" spans="1:4" hidden="1" x14ac:dyDescent="0.3">
      <c r="A96" s="10">
        <v>40474</v>
      </c>
      <c r="B96" s="11" t="s">
        <v>180</v>
      </c>
      <c r="C96" s="12">
        <v>1050000</v>
      </c>
      <c r="D96" s="2"/>
    </row>
    <row r="97" spans="1:4" hidden="1" x14ac:dyDescent="0.3">
      <c r="A97" s="10">
        <v>40502</v>
      </c>
      <c r="B97" s="11" t="s">
        <v>178</v>
      </c>
      <c r="C97" s="12">
        <v>500000</v>
      </c>
      <c r="D97" s="5"/>
    </row>
    <row r="98" spans="1:4" hidden="1" x14ac:dyDescent="0.3">
      <c r="A98" s="10">
        <v>40523</v>
      </c>
      <c r="B98" s="11" t="s">
        <v>177</v>
      </c>
      <c r="C98" s="12">
        <v>800000</v>
      </c>
      <c r="D98" s="2"/>
    </row>
    <row r="99" spans="1:4" hidden="1" x14ac:dyDescent="0.3">
      <c r="A99" s="10">
        <v>40544</v>
      </c>
      <c r="B99" s="11" t="s">
        <v>176</v>
      </c>
      <c r="C99" s="12">
        <v>270000</v>
      </c>
      <c r="D99" s="2"/>
    </row>
    <row r="100" spans="1:4" hidden="1" x14ac:dyDescent="0.3">
      <c r="A100" s="10">
        <v>40579</v>
      </c>
      <c r="B100" s="11" t="s">
        <v>175</v>
      </c>
      <c r="C100" s="12">
        <v>725000</v>
      </c>
      <c r="D100" s="2"/>
    </row>
    <row r="101" spans="1:4" hidden="1" x14ac:dyDescent="0.3">
      <c r="A101" s="10">
        <v>40601</v>
      </c>
      <c r="B101" s="11" t="s">
        <v>174</v>
      </c>
      <c r="C101" s="12">
        <v>260000</v>
      </c>
      <c r="D101" s="2"/>
    </row>
    <row r="102" spans="1:4" hidden="1" x14ac:dyDescent="0.3">
      <c r="A102" s="10">
        <v>40621</v>
      </c>
      <c r="B102" s="11" t="s">
        <v>173</v>
      </c>
      <c r="C102" s="12">
        <v>2140000</v>
      </c>
      <c r="D102" s="2"/>
    </row>
    <row r="103" spans="1:4" hidden="1" x14ac:dyDescent="0.3">
      <c r="A103" s="10">
        <v>40663</v>
      </c>
      <c r="B103" s="11" t="s">
        <v>172</v>
      </c>
      <c r="C103" s="12">
        <v>800000</v>
      </c>
      <c r="D103" s="2"/>
    </row>
    <row r="104" spans="1:4" hidden="1" x14ac:dyDescent="0.3">
      <c r="A104" s="10">
        <v>40691</v>
      </c>
      <c r="B104" s="11" t="s">
        <v>171</v>
      </c>
      <c r="C104" s="12">
        <v>325000</v>
      </c>
      <c r="D104" s="2"/>
    </row>
    <row r="105" spans="1:4" hidden="1" x14ac:dyDescent="0.3">
      <c r="A105" s="10">
        <v>40705</v>
      </c>
      <c r="B105" s="11" t="s">
        <v>170</v>
      </c>
      <c r="C105" s="12">
        <v>330000</v>
      </c>
      <c r="D105" s="2"/>
    </row>
    <row r="106" spans="1:4" hidden="1" x14ac:dyDescent="0.3">
      <c r="A106" s="10">
        <v>40726</v>
      </c>
      <c r="B106" s="11" t="s">
        <v>169</v>
      </c>
      <c r="C106" s="12">
        <v>350000</v>
      </c>
      <c r="D106" s="2"/>
    </row>
    <row r="107" spans="1:4" hidden="1" x14ac:dyDescent="0.3">
      <c r="A107" s="10">
        <v>40761</v>
      </c>
      <c r="B107" s="11" t="s">
        <v>168</v>
      </c>
      <c r="C107" s="12">
        <v>310000</v>
      </c>
      <c r="D107" s="2"/>
    </row>
    <row r="108" spans="1:4" hidden="1" x14ac:dyDescent="0.3">
      <c r="A108" s="10">
        <v>40782</v>
      </c>
      <c r="B108" s="11" t="s">
        <v>167</v>
      </c>
      <c r="C108" s="12">
        <v>335000</v>
      </c>
      <c r="D108" s="2"/>
    </row>
    <row r="109" spans="1:4" hidden="1" x14ac:dyDescent="0.3">
      <c r="A109" s="10">
        <v>40810</v>
      </c>
      <c r="B109" s="11" t="s">
        <v>166</v>
      </c>
      <c r="C109" s="12">
        <v>520000</v>
      </c>
      <c r="D109" s="2"/>
    </row>
    <row r="110" spans="1:4" hidden="1" x14ac:dyDescent="0.3">
      <c r="A110" s="10">
        <v>40824</v>
      </c>
      <c r="B110" s="11" t="s">
        <v>165</v>
      </c>
      <c r="C110" s="12">
        <v>225000</v>
      </c>
      <c r="D110" s="2"/>
    </row>
    <row r="111" spans="1:4" hidden="1" x14ac:dyDescent="0.3">
      <c r="A111" s="10">
        <v>40845</v>
      </c>
      <c r="B111" s="11" t="s">
        <v>164</v>
      </c>
      <c r="C111" s="12">
        <v>280000</v>
      </c>
      <c r="D111" s="2"/>
    </row>
    <row r="112" spans="1:4" hidden="1" x14ac:dyDescent="0.3">
      <c r="A112" s="10">
        <v>40866</v>
      </c>
      <c r="B112" s="11" t="s">
        <v>162</v>
      </c>
      <c r="C112" s="12">
        <v>290000</v>
      </c>
      <c r="D112" s="2"/>
    </row>
    <row r="113" spans="1:4" hidden="1" x14ac:dyDescent="0.3">
      <c r="A113" s="10">
        <v>40887</v>
      </c>
      <c r="B113" s="11" t="s">
        <v>161</v>
      </c>
      <c r="C113" s="12">
        <v>485000</v>
      </c>
      <c r="D113" s="2"/>
    </row>
    <row r="114" spans="1:4" hidden="1" x14ac:dyDescent="0.3">
      <c r="A114" s="10">
        <v>40907</v>
      </c>
      <c r="B114" s="11" t="s">
        <v>160</v>
      </c>
      <c r="C114" s="12">
        <v>750000</v>
      </c>
      <c r="D114" s="2"/>
    </row>
    <row r="115" spans="1:4" hidden="1" x14ac:dyDescent="0.3">
      <c r="A115" s="10">
        <v>40922</v>
      </c>
      <c r="B115" s="11" t="s">
        <v>159</v>
      </c>
      <c r="C115" s="12">
        <v>235000</v>
      </c>
      <c r="D115" s="2"/>
    </row>
    <row r="116" spans="1:4" hidden="1" x14ac:dyDescent="0.3">
      <c r="A116" s="10">
        <v>40943</v>
      </c>
      <c r="B116" s="11" t="s">
        <v>158</v>
      </c>
      <c r="C116" s="12">
        <v>400000</v>
      </c>
      <c r="D116" s="2"/>
    </row>
    <row r="117" spans="1:4" hidden="1" x14ac:dyDescent="0.3">
      <c r="A117" s="10">
        <v>40965</v>
      </c>
      <c r="B117" s="11" t="s">
        <v>157</v>
      </c>
      <c r="C117" s="12">
        <v>375000</v>
      </c>
      <c r="D117" s="2"/>
    </row>
    <row r="118" spans="1:4" hidden="1" x14ac:dyDescent="0.3">
      <c r="A118" s="10">
        <v>41020</v>
      </c>
      <c r="B118" s="11" t="s">
        <v>156</v>
      </c>
      <c r="C118" s="12">
        <v>700000</v>
      </c>
      <c r="D118" s="2"/>
    </row>
    <row r="119" spans="1:4" hidden="1" x14ac:dyDescent="0.3">
      <c r="A119" s="10">
        <v>41055</v>
      </c>
      <c r="B119" s="11" t="s">
        <v>155</v>
      </c>
      <c r="C119" s="12">
        <v>560000</v>
      </c>
      <c r="D119" s="2"/>
    </row>
    <row r="120" spans="1:4" hidden="1" x14ac:dyDescent="0.3">
      <c r="A120" s="10">
        <v>41083</v>
      </c>
      <c r="B120" s="11" t="s">
        <v>154</v>
      </c>
      <c r="C120" s="12">
        <v>140000</v>
      </c>
      <c r="D120" s="2"/>
    </row>
    <row r="121" spans="1:4" hidden="1" x14ac:dyDescent="0.3">
      <c r="A121" s="10">
        <v>41097</v>
      </c>
      <c r="B121" s="11" t="s">
        <v>153</v>
      </c>
      <c r="C121" s="12">
        <v>925000</v>
      </c>
      <c r="D121" s="2"/>
    </row>
    <row r="122" spans="1:4" hidden="1" x14ac:dyDescent="0.3">
      <c r="A122" s="10">
        <v>41111</v>
      </c>
      <c r="B122" s="11" t="s">
        <v>152</v>
      </c>
      <c r="C122" s="12">
        <v>235000</v>
      </c>
      <c r="D122" s="2"/>
    </row>
    <row r="123" spans="1:4" hidden="1" x14ac:dyDescent="0.3">
      <c r="A123" s="10">
        <v>41132</v>
      </c>
      <c r="B123" s="11" t="s">
        <v>151</v>
      </c>
      <c r="C123" s="12">
        <v>190000</v>
      </c>
      <c r="D123" s="2"/>
    </row>
    <row r="124" spans="1:4" hidden="1" x14ac:dyDescent="0.3">
      <c r="A124" s="10">
        <v>41174</v>
      </c>
      <c r="B124" s="11" t="s">
        <v>150</v>
      </c>
      <c r="C124" s="12">
        <v>450000</v>
      </c>
      <c r="D124" s="2"/>
    </row>
    <row r="125" spans="1:4" hidden="1" x14ac:dyDescent="0.3">
      <c r="A125" s="10">
        <v>41195</v>
      </c>
      <c r="B125" s="11" t="s">
        <v>149</v>
      </c>
      <c r="C125" s="12">
        <v>410000</v>
      </c>
      <c r="D125" s="2"/>
    </row>
    <row r="126" spans="1:4" hidden="1" x14ac:dyDescent="0.3">
      <c r="A126" s="10">
        <v>41230</v>
      </c>
      <c r="B126" s="11" t="s">
        <v>148</v>
      </c>
      <c r="C126" s="12">
        <v>700000</v>
      </c>
      <c r="D126" s="2"/>
    </row>
    <row r="127" spans="1:4" hidden="1" x14ac:dyDescent="0.3">
      <c r="A127" s="10">
        <v>41272</v>
      </c>
      <c r="B127" s="11" t="s">
        <v>147</v>
      </c>
      <c r="C127" s="12">
        <v>590000</v>
      </c>
      <c r="D127" s="2"/>
    </row>
    <row r="128" spans="1:4" hidden="1" x14ac:dyDescent="0.3">
      <c r="A128" s="10">
        <v>41307</v>
      </c>
      <c r="B128" s="11" t="s">
        <v>146</v>
      </c>
      <c r="C128" s="12">
        <v>330000</v>
      </c>
      <c r="D128" s="2"/>
    </row>
    <row r="129" spans="1:4" hidden="1" x14ac:dyDescent="0.3">
      <c r="A129" s="10">
        <v>41328</v>
      </c>
      <c r="B129" s="11" t="s">
        <v>145</v>
      </c>
      <c r="C129" s="12">
        <v>450000</v>
      </c>
      <c r="D129" s="2"/>
    </row>
    <row r="130" spans="1:4" hidden="1" x14ac:dyDescent="0.3">
      <c r="A130" s="10">
        <v>41349</v>
      </c>
      <c r="B130" s="11" t="s">
        <v>144</v>
      </c>
      <c r="C130" s="12">
        <v>950000</v>
      </c>
      <c r="D130" s="2"/>
    </row>
    <row r="131" spans="1:4" hidden="1" x14ac:dyDescent="0.3">
      <c r="A131" s="10">
        <v>41391</v>
      </c>
      <c r="B131" s="11" t="s">
        <v>143</v>
      </c>
      <c r="C131" s="12">
        <v>550000</v>
      </c>
      <c r="D131" s="2"/>
    </row>
    <row r="132" spans="1:4" hidden="1" x14ac:dyDescent="0.3">
      <c r="A132" s="10">
        <v>41419</v>
      </c>
      <c r="B132" s="11" t="s">
        <v>142</v>
      </c>
      <c r="C132" s="12">
        <v>380000</v>
      </c>
      <c r="D132" s="2"/>
    </row>
    <row r="133" spans="1:4" hidden="1" x14ac:dyDescent="0.3">
      <c r="A133" s="10">
        <v>41440</v>
      </c>
      <c r="B133" s="11" t="s">
        <v>141</v>
      </c>
      <c r="C133" s="12">
        <v>140000</v>
      </c>
      <c r="D133" s="2"/>
    </row>
    <row r="134" spans="1:4" hidden="1" x14ac:dyDescent="0.3">
      <c r="A134" s="10">
        <v>41461</v>
      </c>
      <c r="B134" s="11" t="s">
        <v>140</v>
      </c>
      <c r="C134" s="12">
        <v>550000</v>
      </c>
      <c r="D134" s="2"/>
    </row>
    <row r="135" spans="1:4" hidden="1" x14ac:dyDescent="0.3">
      <c r="A135" s="10">
        <v>41489</v>
      </c>
      <c r="B135" s="11" t="s">
        <v>139</v>
      </c>
      <c r="C135" s="12">
        <v>180000</v>
      </c>
      <c r="D135" s="2"/>
    </row>
    <row r="136" spans="1:4" hidden="1" x14ac:dyDescent="0.3">
      <c r="A136" s="10">
        <v>41517</v>
      </c>
      <c r="B136" s="11" t="s">
        <v>138</v>
      </c>
      <c r="C136" s="12">
        <v>270000</v>
      </c>
      <c r="D136" s="2"/>
    </row>
    <row r="137" spans="1:4" hidden="1" x14ac:dyDescent="0.3">
      <c r="A137" s="10">
        <v>41538</v>
      </c>
      <c r="B137" s="11" t="s">
        <v>137</v>
      </c>
      <c r="C137" s="12">
        <v>310000</v>
      </c>
      <c r="D137" s="2"/>
    </row>
    <row r="138" spans="1:4" hidden="1" x14ac:dyDescent="0.3">
      <c r="A138" s="10">
        <v>41566</v>
      </c>
      <c r="B138" s="11" t="s">
        <v>136</v>
      </c>
      <c r="C138" s="12">
        <v>330000</v>
      </c>
      <c r="D138" s="2"/>
    </row>
    <row r="139" spans="1:4" hidden="1" x14ac:dyDescent="0.3">
      <c r="A139" s="10">
        <v>41594</v>
      </c>
      <c r="B139" s="11" t="s">
        <v>135</v>
      </c>
      <c r="C139" s="12">
        <v>630000</v>
      </c>
      <c r="D139" s="2"/>
    </row>
    <row r="140" spans="1:4" hidden="1" x14ac:dyDescent="0.3">
      <c r="A140" s="10">
        <v>41636</v>
      </c>
      <c r="B140" s="11" t="s">
        <v>134</v>
      </c>
      <c r="C140" s="12">
        <v>1025000</v>
      </c>
      <c r="D140" s="2"/>
    </row>
    <row r="141" spans="1:4" hidden="1" x14ac:dyDescent="0.3">
      <c r="A141" s="10">
        <v>41671</v>
      </c>
      <c r="B141" s="11" t="s">
        <v>133</v>
      </c>
      <c r="C141" s="12">
        <v>230000</v>
      </c>
      <c r="D141" s="2"/>
    </row>
    <row r="142" spans="1:4" hidden="1" x14ac:dyDescent="0.3">
      <c r="A142" s="10">
        <v>41692</v>
      </c>
      <c r="B142" s="11" t="s">
        <v>132</v>
      </c>
      <c r="C142" s="12">
        <v>340000</v>
      </c>
      <c r="D142" s="2"/>
    </row>
    <row r="143" spans="1:4" hidden="1" x14ac:dyDescent="0.3">
      <c r="A143" s="10">
        <v>41713</v>
      </c>
      <c r="B143" s="11" t="s">
        <v>131</v>
      </c>
      <c r="C143" s="12">
        <v>300000</v>
      </c>
      <c r="D143" s="2"/>
    </row>
    <row r="144" spans="1:4" hidden="1" x14ac:dyDescent="0.3">
      <c r="A144" s="10">
        <v>41755</v>
      </c>
      <c r="B144" s="11" t="s">
        <v>130</v>
      </c>
      <c r="C144" s="12">
        <v>350000</v>
      </c>
      <c r="D144" s="2"/>
    </row>
    <row r="145" spans="1:4" hidden="1" x14ac:dyDescent="0.3">
      <c r="A145" s="10">
        <v>41783</v>
      </c>
      <c r="B145" s="11" t="s">
        <v>129</v>
      </c>
      <c r="C145" s="12">
        <v>215000</v>
      </c>
      <c r="D145" s="2"/>
    </row>
    <row r="146" spans="1:4" hidden="1" x14ac:dyDescent="0.3">
      <c r="A146" s="10">
        <v>41804</v>
      </c>
      <c r="B146" s="11" t="s">
        <v>128</v>
      </c>
      <c r="C146" s="12">
        <v>115000</v>
      </c>
      <c r="D146" s="2"/>
    </row>
    <row r="147" spans="1:4" hidden="1" x14ac:dyDescent="0.3">
      <c r="A147" s="10">
        <v>41825</v>
      </c>
      <c r="B147" s="11" t="s">
        <v>127</v>
      </c>
      <c r="C147" s="12">
        <v>545000</v>
      </c>
      <c r="D147" s="2"/>
    </row>
    <row r="148" spans="1:4" hidden="1" x14ac:dyDescent="0.3">
      <c r="A148" s="10">
        <v>41881</v>
      </c>
      <c r="B148" s="11" t="s">
        <v>126</v>
      </c>
      <c r="C148" s="12">
        <v>125000</v>
      </c>
      <c r="D148" s="2"/>
    </row>
    <row r="149" spans="1:4" hidden="1" x14ac:dyDescent="0.3">
      <c r="A149" s="10">
        <v>41909</v>
      </c>
      <c r="B149" s="11" t="s">
        <v>125</v>
      </c>
      <c r="C149" s="12">
        <v>205000</v>
      </c>
      <c r="D149" s="2"/>
    </row>
    <row r="150" spans="1:4" hidden="1" x14ac:dyDescent="0.3">
      <c r="A150" s="10">
        <v>41937</v>
      </c>
      <c r="B150" s="11" t="s">
        <v>124</v>
      </c>
      <c r="C150" s="12">
        <v>180000</v>
      </c>
      <c r="D150" s="2"/>
    </row>
    <row r="151" spans="1:4" hidden="1" x14ac:dyDescent="0.3">
      <c r="A151" s="10">
        <v>41958</v>
      </c>
      <c r="B151" s="11" t="s">
        <v>123</v>
      </c>
      <c r="C151" s="12">
        <v>185000</v>
      </c>
      <c r="D151" s="2"/>
    </row>
    <row r="152" spans="1:4" hidden="1" x14ac:dyDescent="0.3">
      <c r="A152" s="10">
        <v>41979</v>
      </c>
      <c r="B152" s="11" t="s">
        <v>122</v>
      </c>
      <c r="C152" s="12">
        <v>400000</v>
      </c>
      <c r="D152" s="2"/>
    </row>
    <row r="153" spans="1:4" hidden="1" x14ac:dyDescent="0.3">
      <c r="A153" s="10">
        <v>42350</v>
      </c>
      <c r="B153" s="11" t="s">
        <v>109</v>
      </c>
      <c r="C153" s="17">
        <v>1200000</v>
      </c>
      <c r="D153" s="2"/>
    </row>
    <row r="154" spans="1:4" hidden="1" x14ac:dyDescent="0.3">
      <c r="A154" s="10">
        <v>42323</v>
      </c>
      <c r="B154" s="11" t="s">
        <v>110</v>
      </c>
      <c r="C154" s="17">
        <v>1100000</v>
      </c>
      <c r="D154" s="2"/>
    </row>
    <row r="155" spans="1:4" hidden="1" x14ac:dyDescent="0.3">
      <c r="A155" s="10">
        <v>42217</v>
      </c>
      <c r="B155" s="11" t="s">
        <v>113</v>
      </c>
      <c r="C155" s="17">
        <v>900000</v>
      </c>
      <c r="D155" s="2"/>
    </row>
    <row r="156" spans="1:4" hidden="1" x14ac:dyDescent="0.3">
      <c r="A156" s="10">
        <v>42196</v>
      </c>
      <c r="B156" s="11" t="s">
        <v>114</v>
      </c>
      <c r="C156" s="17">
        <v>825000</v>
      </c>
      <c r="D156" s="2"/>
    </row>
    <row r="157" spans="1:4" hidden="1" x14ac:dyDescent="0.3">
      <c r="A157" s="10">
        <v>42007</v>
      </c>
      <c r="B157" s="11" t="s">
        <v>121</v>
      </c>
      <c r="C157" s="17">
        <v>800000</v>
      </c>
      <c r="D157" s="2"/>
    </row>
    <row r="158" spans="1:4" hidden="1" x14ac:dyDescent="0.3">
      <c r="A158" s="10">
        <v>42035</v>
      </c>
      <c r="B158" s="11" t="s">
        <v>120</v>
      </c>
      <c r="C158" s="17">
        <v>650000</v>
      </c>
      <c r="D158" s="2"/>
    </row>
    <row r="159" spans="1:4" hidden="1" x14ac:dyDescent="0.3">
      <c r="A159" s="10">
        <v>42063</v>
      </c>
      <c r="B159" s="11" t="s">
        <v>119</v>
      </c>
      <c r="C159" s="17">
        <v>600000</v>
      </c>
      <c r="D159" s="2"/>
    </row>
    <row r="160" spans="1:4" hidden="1" x14ac:dyDescent="0.3">
      <c r="A160" s="10">
        <v>42147</v>
      </c>
      <c r="B160" s="11" t="s">
        <v>116</v>
      </c>
      <c r="C160" s="17">
        <v>375000</v>
      </c>
      <c r="D160" s="2"/>
    </row>
    <row r="161" spans="1:4" hidden="1" x14ac:dyDescent="0.3">
      <c r="A161" s="10">
        <v>42077</v>
      </c>
      <c r="B161" s="11" t="s">
        <v>118</v>
      </c>
      <c r="C161" s="17">
        <v>310000</v>
      </c>
      <c r="D161" s="2"/>
    </row>
    <row r="162" spans="1:4" hidden="1" x14ac:dyDescent="0.3">
      <c r="A162" s="10">
        <v>42168</v>
      </c>
      <c r="B162" s="11" t="s">
        <v>115</v>
      </c>
      <c r="C162" s="17">
        <v>300000</v>
      </c>
      <c r="D162" s="2"/>
    </row>
    <row r="163" spans="1:4" hidden="1" x14ac:dyDescent="0.3">
      <c r="A163" s="10">
        <v>42280</v>
      </c>
      <c r="B163" s="11" t="s">
        <v>111</v>
      </c>
      <c r="C163" s="17">
        <v>250000</v>
      </c>
      <c r="D163" s="2"/>
    </row>
    <row r="164" spans="1:4" hidden="1" x14ac:dyDescent="0.3">
      <c r="A164" s="10">
        <v>42119</v>
      </c>
      <c r="B164" s="11" t="s">
        <v>117</v>
      </c>
      <c r="C164" s="17">
        <v>125000</v>
      </c>
      <c r="D164" s="2"/>
    </row>
    <row r="165" spans="1:4" hidden="1" x14ac:dyDescent="0.3">
      <c r="A165" s="10">
        <v>42252</v>
      </c>
      <c r="B165" s="11" t="s">
        <v>112</v>
      </c>
      <c r="C165" s="17">
        <v>115000</v>
      </c>
      <c r="D165" s="2"/>
    </row>
    <row r="166" spans="1:4" hidden="1" x14ac:dyDescent="0.3">
      <c r="A166" s="10">
        <v>42602</v>
      </c>
      <c r="B166" s="11" t="s">
        <v>101</v>
      </c>
      <c r="C166" s="12">
        <v>1650000</v>
      </c>
      <c r="D166" s="2"/>
    </row>
    <row r="167" spans="1:4" hidden="1" x14ac:dyDescent="0.3">
      <c r="A167" s="10">
        <v>42434</v>
      </c>
      <c r="B167" s="11" t="s">
        <v>107</v>
      </c>
      <c r="C167" s="12">
        <v>1317000</v>
      </c>
      <c r="D167" s="2"/>
    </row>
    <row r="168" spans="1:4" hidden="1" x14ac:dyDescent="0.3">
      <c r="A168" s="10">
        <v>42686</v>
      </c>
      <c r="B168" s="11" t="s">
        <v>98</v>
      </c>
      <c r="C168" s="12">
        <v>1300000</v>
      </c>
      <c r="D168" s="2"/>
    </row>
    <row r="169" spans="1:4" hidden="1" x14ac:dyDescent="0.3">
      <c r="A169" s="10">
        <v>42734</v>
      </c>
      <c r="B169" s="11" t="s">
        <v>96</v>
      </c>
      <c r="C169" s="12">
        <v>1100000</v>
      </c>
      <c r="D169" s="2"/>
    </row>
    <row r="170" spans="1:4" hidden="1" x14ac:dyDescent="0.3">
      <c r="A170" s="10">
        <v>42560</v>
      </c>
      <c r="B170" s="11" t="s">
        <v>103</v>
      </c>
      <c r="C170" s="12">
        <v>1009000</v>
      </c>
      <c r="D170" s="2"/>
    </row>
    <row r="171" spans="1:4" hidden="1" x14ac:dyDescent="0.3">
      <c r="A171" s="10">
        <v>42623</v>
      </c>
      <c r="B171" s="11" t="s">
        <v>100</v>
      </c>
      <c r="C171" s="12">
        <v>450000</v>
      </c>
      <c r="D171" s="2"/>
    </row>
    <row r="172" spans="1:4" hidden="1" x14ac:dyDescent="0.3">
      <c r="A172" s="10">
        <v>42483</v>
      </c>
      <c r="B172" s="11" t="s">
        <v>106</v>
      </c>
      <c r="C172" s="12">
        <v>410000</v>
      </c>
      <c r="D172" s="2"/>
    </row>
    <row r="173" spans="1:4" hidden="1" x14ac:dyDescent="0.3">
      <c r="A173" s="10">
        <v>42371</v>
      </c>
      <c r="B173" s="11" t="s">
        <v>108</v>
      </c>
      <c r="C173" s="12">
        <v>300000</v>
      </c>
      <c r="D173" s="2"/>
    </row>
    <row r="174" spans="1:4" hidden="1" x14ac:dyDescent="0.3">
      <c r="A174" s="10">
        <v>42525</v>
      </c>
      <c r="B174" s="11" t="s">
        <v>104</v>
      </c>
      <c r="C174" s="12">
        <v>300000</v>
      </c>
      <c r="D174" s="2"/>
    </row>
    <row r="175" spans="1:4" hidden="1" x14ac:dyDescent="0.3">
      <c r="A175" s="10">
        <v>42651</v>
      </c>
      <c r="B175" s="11" t="s">
        <v>99</v>
      </c>
      <c r="C175" s="12">
        <v>290000</v>
      </c>
      <c r="D175" s="2"/>
    </row>
    <row r="176" spans="1:4" hidden="1" x14ac:dyDescent="0.3">
      <c r="A176" s="10">
        <v>42581</v>
      </c>
      <c r="B176" s="11" t="s">
        <v>102</v>
      </c>
      <c r="C176" s="12">
        <v>240000</v>
      </c>
      <c r="D176" s="2"/>
    </row>
    <row r="177" spans="1:4" hidden="1" x14ac:dyDescent="0.3">
      <c r="A177" s="10">
        <v>42504</v>
      </c>
      <c r="B177" s="11" t="s">
        <v>105</v>
      </c>
      <c r="C177" s="12">
        <v>217000</v>
      </c>
      <c r="D177" s="2"/>
    </row>
    <row r="178" spans="1:4" hidden="1" x14ac:dyDescent="0.3">
      <c r="A178" s="10">
        <v>42714</v>
      </c>
      <c r="B178" s="11" t="s">
        <v>97</v>
      </c>
      <c r="C178" s="12">
        <v>150000</v>
      </c>
      <c r="D178" s="2"/>
    </row>
    <row r="179" spans="1:4" hidden="1" x14ac:dyDescent="0.3">
      <c r="A179" s="10">
        <v>42798</v>
      </c>
      <c r="B179" s="11" t="s">
        <v>94</v>
      </c>
      <c r="C179" s="12">
        <v>300000</v>
      </c>
      <c r="D179" s="2"/>
    </row>
    <row r="180" spans="1:4" hidden="1" x14ac:dyDescent="0.3">
      <c r="A180" s="10">
        <v>42833</v>
      </c>
      <c r="B180" s="11" t="s">
        <v>93</v>
      </c>
      <c r="C180" s="12">
        <v>300000</v>
      </c>
      <c r="D180" s="2"/>
    </row>
    <row r="181" spans="1:4" hidden="1" x14ac:dyDescent="0.3">
      <c r="A181" s="10">
        <v>42868</v>
      </c>
      <c r="B181" s="11" t="s">
        <v>92</v>
      </c>
      <c r="C181" s="12">
        <v>350000</v>
      </c>
      <c r="D181" s="2"/>
    </row>
    <row r="182" spans="1:4" hidden="1" x14ac:dyDescent="0.3">
      <c r="A182" s="10">
        <v>42889</v>
      </c>
      <c r="B182" s="11" t="s">
        <v>91</v>
      </c>
      <c r="C182" s="12">
        <v>167000</v>
      </c>
      <c r="D182" s="2"/>
    </row>
    <row r="183" spans="1:4" hidden="1" x14ac:dyDescent="0.3">
      <c r="A183" s="10">
        <v>42924</v>
      </c>
      <c r="B183" s="11" t="s">
        <v>90</v>
      </c>
      <c r="C183" s="12">
        <v>150000</v>
      </c>
      <c r="D183" s="2"/>
    </row>
    <row r="184" spans="1:4" hidden="1" x14ac:dyDescent="0.3">
      <c r="A184" s="10">
        <v>42945</v>
      </c>
      <c r="B184" s="11" t="s">
        <v>89</v>
      </c>
      <c r="C184" s="12">
        <v>860000</v>
      </c>
      <c r="D184" s="2"/>
    </row>
    <row r="185" spans="1:4" hidden="1" x14ac:dyDescent="0.3">
      <c r="A185" s="10">
        <v>42987</v>
      </c>
      <c r="B185" s="11" t="s">
        <v>88</v>
      </c>
      <c r="C185" s="12">
        <v>100000</v>
      </c>
      <c r="D185" s="2"/>
    </row>
    <row r="186" spans="1:4" hidden="1" x14ac:dyDescent="0.3">
      <c r="A186" s="10">
        <v>43015</v>
      </c>
      <c r="B186" s="11" t="s">
        <v>87</v>
      </c>
      <c r="C186" s="12">
        <v>200000</v>
      </c>
      <c r="D186" s="2"/>
    </row>
    <row r="187" spans="1:4" hidden="1" x14ac:dyDescent="0.3">
      <c r="A187" s="10">
        <v>43043</v>
      </c>
      <c r="B187" s="11" t="s">
        <v>86</v>
      </c>
      <c r="C187" s="12">
        <v>875000</v>
      </c>
      <c r="D187" s="2"/>
    </row>
    <row r="188" spans="1:4" hidden="1" x14ac:dyDescent="0.3">
      <c r="A188" s="10">
        <v>43071</v>
      </c>
      <c r="B188" s="11" t="s">
        <v>85</v>
      </c>
      <c r="C188" s="12">
        <v>230000</v>
      </c>
      <c r="D188" s="2"/>
    </row>
    <row r="189" spans="1:4" hidden="1" x14ac:dyDescent="0.3">
      <c r="A189" s="10">
        <v>43099</v>
      </c>
      <c r="B189" s="11" t="s">
        <v>84</v>
      </c>
      <c r="C189" s="12">
        <v>380000</v>
      </c>
      <c r="D189" s="2"/>
    </row>
    <row r="190" spans="1:4" hidden="1" x14ac:dyDescent="0.3">
      <c r="A190" s="10">
        <v>43120</v>
      </c>
      <c r="B190" s="11" t="s">
        <v>83</v>
      </c>
      <c r="C190" s="12">
        <v>350000</v>
      </c>
      <c r="D190" s="2"/>
    </row>
    <row r="191" spans="1:4" hidden="1" x14ac:dyDescent="0.3">
      <c r="A191" s="10">
        <v>43142</v>
      </c>
      <c r="B191" s="11" t="s">
        <v>82</v>
      </c>
      <c r="C191" s="12">
        <v>130000</v>
      </c>
      <c r="D191" s="2"/>
    </row>
    <row r="192" spans="1:4" hidden="1" x14ac:dyDescent="0.3">
      <c r="A192" s="10">
        <v>43162</v>
      </c>
      <c r="B192" s="11" t="s">
        <v>81</v>
      </c>
      <c r="C192" s="12">
        <v>260000</v>
      </c>
      <c r="D192" s="2"/>
    </row>
    <row r="193" spans="1:4" hidden="1" x14ac:dyDescent="0.3">
      <c r="A193" s="10">
        <v>43197</v>
      </c>
      <c r="B193" s="11" t="s">
        <v>80</v>
      </c>
      <c r="C193" s="12">
        <v>350000</v>
      </c>
      <c r="D193" s="2"/>
    </row>
    <row r="194" spans="1:4" hidden="1" x14ac:dyDescent="0.3">
      <c r="A194" s="10">
        <v>43232</v>
      </c>
      <c r="B194" s="11" t="s">
        <v>79</v>
      </c>
      <c r="C194" s="12">
        <v>85000</v>
      </c>
      <c r="D194" s="2"/>
    </row>
    <row r="195" spans="1:4" hidden="1" x14ac:dyDescent="0.3">
      <c r="A195" s="10">
        <v>43260</v>
      </c>
      <c r="B195" s="11" t="s">
        <v>78</v>
      </c>
      <c r="C195" s="12">
        <v>250000</v>
      </c>
      <c r="D195" s="2"/>
    </row>
    <row r="196" spans="1:4" hidden="1" x14ac:dyDescent="0.3">
      <c r="A196" s="10">
        <v>43288</v>
      </c>
      <c r="B196" s="11" t="s">
        <v>77</v>
      </c>
      <c r="C196" s="12">
        <v>380000</v>
      </c>
      <c r="D196" s="2"/>
    </row>
    <row r="197" spans="1:4" hidden="1" x14ac:dyDescent="0.3">
      <c r="A197" s="10">
        <v>43316</v>
      </c>
      <c r="B197" s="11" t="s">
        <v>76</v>
      </c>
      <c r="C197" s="12">
        <v>300000</v>
      </c>
      <c r="D197" s="4"/>
    </row>
    <row r="198" spans="1:4" hidden="1" x14ac:dyDescent="0.3">
      <c r="A198" s="10">
        <v>43351</v>
      </c>
      <c r="B198" s="11" t="s">
        <v>75</v>
      </c>
      <c r="C198" s="12">
        <v>130000</v>
      </c>
      <c r="D198" s="2"/>
    </row>
    <row r="199" spans="1:4" hidden="1" x14ac:dyDescent="0.3">
      <c r="A199" s="10">
        <v>43379</v>
      </c>
      <c r="B199" s="11" t="s">
        <v>74</v>
      </c>
      <c r="C199" s="12">
        <v>2400000</v>
      </c>
      <c r="D199" s="4"/>
    </row>
    <row r="200" spans="1:4" hidden="1" x14ac:dyDescent="0.3">
      <c r="A200" s="10">
        <v>43407</v>
      </c>
      <c r="B200" s="11" t="s">
        <v>73</v>
      </c>
      <c r="C200" s="12">
        <v>250000</v>
      </c>
    </row>
    <row r="201" spans="1:4" hidden="1" x14ac:dyDescent="0.3">
      <c r="A201" s="10">
        <v>43442</v>
      </c>
      <c r="B201" s="11" t="s">
        <v>72</v>
      </c>
      <c r="C201" s="12">
        <v>300000</v>
      </c>
    </row>
    <row r="202" spans="1:4" hidden="1" x14ac:dyDescent="0.3">
      <c r="A202" s="10">
        <v>43463</v>
      </c>
      <c r="B202" s="11" t="s">
        <v>71</v>
      </c>
      <c r="C202" s="12">
        <v>700000</v>
      </c>
    </row>
    <row r="203" spans="1:4" hidden="1" x14ac:dyDescent="0.3">
      <c r="A203" s="10">
        <v>43506</v>
      </c>
      <c r="B203" s="11" t="s">
        <v>70</v>
      </c>
      <c r="C203" s="12">
        <v>175000</v>
      </c>
    </row>
    <row r="204" spans="1:4" hidden="1" x14ac:dyDescent="0.3">
      <c r="A204" s="10">
        <v>43526</v>
      </c>
      <c r="B204" s="11" t="s">
        <v>69</v>
      </c>
      <c r="C204" s="12">
        <v>590000</v>
      </c>
    </row>
    <row r="205" spans="1:4" hidden="1" x14ac:dyDescent="0.3">
      <c r="A205" s="10">
        <v>43568</v>
      </c>
      <c r="B205" s="11" t="s">
        <v>68</v>
      </c>
      <c r="C205" s="12">
        <v>90000</v>
      </c>
    </row>
    <row r="206" spans="1:4" hidden="1" x14ac:dyDescent="0.3">
      <c r="A206" s="10">
        <v>43596</v>
      </c>
      <c r="B206" s="11" t="s">
        <v>67</v>
      </c>
      <c r="C206" s="12">
        <v>110000</v>
      </c>
    </row>
    <row r="207" spans="1:4" hidden="1" x14ac:dyDescent="0.3">
      <c r="A207" s="10">
        <v>43624</v>
      </c>
      <c r="B207" s="11" t="s">
        <v>66</v>
      </c>
      <c r="C207" s="12">
        <v>200000</v>
      </c>
    </row>
    <row r="208" spans="1:4" hidden="1" x14ac:dyDescent="0.3">
      <c r="A208" s="10">
        <v>43673</v>
      </c>
      <c r="B208" s="11" t="s">
        <v>64</v>
      </c>
      <c r="C208" s="12">
        <v>270000</v>
      </c>
    </row>
    <row r="209" spans="1:3" hidden="1" x14ac:dyDescent="0.3">
      <c r="A209" s="10">
        <v>43694</v>
      </c>
      <c r="B209" s="11" t="s">
        <v>63</v>
      </c>
      <c r="C209" s="12">
        <v>600000</v>
      </c>
    </row>
    <row r="210" spans="1:3" hidden="1" x14ac:dyDescent="0.3">
      <c r="A210" s="10">
        <v>43715</v>
      </c>
      <c r="B210" s="11" t="s">
        <v>62</v>
      </c>
      <c r="C210" s="12">
        <v>1000000</v>
      </c>
    </row>
    <row r="211" spans="1:3" hidden="1" x14ac:dyDescent="0.3">
      <c r="A211" s="10">
        <v>43848</v>
      </c>
      <c r="B211" s="11" t="s">
        <v>58</v>
      </c>
      <c r="C211" s="12">
        <v>1350000</v>
      </c>
    </row>
    <row r="212" spans="1:3" hidden="1" x14ac:dyDescent="0.3">
      <c r="A212" s="10">
        <v>43960</v>
      </c>
      <c r="B212" s="11" t="s">
        <v>55</v>
      </c>
      <c r="C212" s="12">
        <v>700000</v>
      </c>
    </row>
    <row r="213" spans="1:3" hidden="1" x14ac:dyDescent="0.3">
      <c r="A213" s="10">
        <v>44024</v>
      </c>
      <c r="B213" s="11" t="s">
        <v>53</v>
      </c>
      <c r="C213" s="12">
        <v>1300000</v>
      </c>
    </row>
    <row r="214" spans="1:3" hidden="1" x14ac:dyDescent="0.3">
      <c r="A214" s="10">
        <v>44058</v>
      </c>
      <c r="B214" s="11" t="s">
        <v>52</v>
      </c>
      <c r="C214" s="12">
        <v>500000</v>
      </c>
    </row>
    <row r="215" spans="1:3" hidden="1" x14ac:dyDescent="0.3">
      <c r="A215" s="10">
        <v>44101</v>
      </c>
      <c r="B215" s="11" t="s">
        <v>51</v>
      </c>
      <c r="C215" s="12">
        <v>700000</v>
      </c>
    </row>
    <row r="216" spans="1:3" hidden="1" x14ac:dyDescent="0.3">
      <c r="A216" s="10">
        <v>44128</v>
      </c>
      <c r="B216" s="11" t="s">
        <v>50</v>
      </c>
      <c r="C216" s="12">
        <v>675000</v>
      </c>
    </row>
    <row r="217" spans="1:3" hidden="1" x14ac:dyDescent="0.3">
      <c r="A217" s="10">
        <v>44220</v>
      </c>
      <c r="B217" s="11" t="s">
        <v>47</v>
      </c>
      <c r="C217" s="12">
        <v>1500000</v>
      </c>
    </row>
    <row r="218" spans="1:3" hidden="1" x14ac:dyDescent="0.3">
      <c r="A218" s="10">
        <v>44261</v>
      </c>
      <c r="B218" s="11" t="s">
        <v>45</v>
      </c>
      <c r="C218" s="12">
        <v>800000</v>
      </c>
    </row>
    <row r="219" spans="1:3" hidden="1" x14ac:dyDescent="0.3">
      <c r="A219" s="10">
        <v>44310</v>
      </c>
      <c r="B219" s="11" t="s">
        <v>43</v>
      </c>
      <c r="C219" s="12">
        <v>700000</v>
      </c>
    </row>
    <row r="220" spans="1:3" hidden="1" x14ac:dyDescent="0.3">
      <c r="A220" s="10">
        <v>44331</v>
      </c>
      <c r="B220" s="11" t="s">
        <v>42</v>
      </c>
      <c r="C220" s="12">
        <v>300000</v>
      </c>
    </row>
    <row r="221" spans="1:3" hidden="1" x14ac:dyDescent="0.3">
      <c r="A221" s="10">
        <v>44359</v>
      </c>
      <c r="B221" s="11" t="s">
        <v>41</v>
      </c>
      <c r="C221" s="12">
        <v>600000</v>
      </c>
    </row>
    <row r="222" spans="1:3" hidden="1" x14ac:dyDescent="0.3">
      <c r="A222" s="10">
        <v>44387</v>
      </c>
      <c r="B222" s="11" t="s">
        <v>40</v>
      </c>
      <c r="C222" s="12">
        <v>1800000</v>
      </c>
    </row>
    <row r="223" spans="1:3" hidden="1" x14ac:dyDescent="0.3">
      <c r="A223" s="10">
        <v>44506</v>
      </c>
      <c r="B223" s="11" t="s">
        <v>36</v>
      </c>
      <c r="C223" s="12">
        <v>700000</v>
      </c>
    </row>
    <row r="224" spans="1:3" hidden="1" x14ac:dyDescent="0.3">
      <c r="A224" s="10">
        <v>44541</v>
      </c>
      <c r="B224" s="11" t="s">
        <v>35</v>
      </c>
      <c r="C224" s="12">
        <v>500000</v>
      </c>
    </row>
    <row r="225" spans="1:4" x14ac:dyDescent="0.3">
      <c r="A225" s="10">
        <v>44688</v>
      </c>
      <c r="B225" s="11" t="s">
        <v>30</v>
      </c>
      <c r="C225" s="12">
        <v>400000</v>
      </c>
      <c r="D225" s="1">
        <f>SUM(C225:C228)/4</f>
        <v>440000</v>
      </c>
    </row>
    <row r="226" spans="1:4" x14ac:dyDescent="0.3">
      <c r="A226" s="10">
        <v>44744</v>
      </c>
      <c r="B226" s="11" t="s">
        <v>28</v>
      </c>
      <c r="C226" s="12">
        <v>400000</v>
      </c>
    </row>
    <row r="227" spans="1:4" x14ac:dyDescent="0.3">
      <c r="A227" s="10">
        <v>44793</v>
      </c>
      <c r="B227" s="11" t="s">
        <v>26</v>
      </c>
      <c r="C227" s="12">
        <v>360000</v>
      </c>
    </row>
    <row r="228" spans="1:4" x14ac:dyDescent="0.3">
      <c r="A228" s="10">
        <v>44877</v>
      </c>
      <c r="B228" s="11" t="s">
        <v>23</v>
      </c>
      <c r="C228" s="12">
        <v>600000</v>
      </c>
    </row>
  </sheetData>
  <mergeCells count="1">
    <mergeCell ref="D14:D15"/>
  </mergeCells>
  <conditionalFormatting sqref="C1">
    <cfRule type="containsText" dxfId="1" priority="1" operator="containsText" text="Not Disclosed">
      <formula>NOT(ISERROR(SEARCH("Not Disclosed",C1)))</formula>
    </cfRule>
    <cfRule type="containsText" dxfId="0" priority="2" operator="containsText" text="N/A">
      <formula>NOT(ISERROR(SEARCH("N/A",C1)))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9C7EF-164A-40E5-9F78-4ACA59A9CD17}">
  <dimension ref="A1:E32"/>
  <sheetViews>
    <sheetView zoomScale="145" zoomScaleNormal="145" workbookViewId="0">
      <selection activeCell="B14" sqref="B14"/>
    </sheetView>
  </sheetViews>
  <sheetFormatPr defaultRowHeight="15" x14ac:dyDescent="0.25"/>
  <cols>
    <col min="1" max="1" width="6.7109375" customWidth="1"/>
    <col min="2" max="2" width="11.7109375" bestFit="1" customWidth="1"/>
    <col min="3" max="3" width="10.28515625" customWidth="1"/>
    <col min="4" max="4" width="18.5703125" customWidth="1"/>
    <col min="5" max="5" width="13" customWidth="1"/>
  </cols>
  <sheetData>
    <row r="1" spans="1:5" x14ac:dyDescent="0.25">
      <c r="A1" t="s">
        <v>338</v>
      </c>
      <c r="B1" t="s">
        <v>340</v>
      </c>
      <c r="C1" t="s">
        <v>339</v>
      </c>
      <c r="D1" t="s">
        <v>334</v>
      </c>
      <c r="E1" t="s">
        <v>341</v>
      </c>
    </row>
    <row r="2" spans="1:5" x14ac:dyDescent="0.25">
      <c r="A2" s="13" t="s">
        <v>306</v>
      </c>
      <c r="B2" s="7">
        <v>14.95</v>
      </c>
      <c r="C2" s="15"/>
      <c r="D2" s="14">
        <v>86000</v>
      </c>
    </row>
    <row r="3" spans="1:5" x14ac:dyDescent="0.25">
      <c r="A3" s="13" t="s">
        <v>307</v>
      </c>
      <c r="B3" s="7">
        <v>14.95</v>
      </c>
      <c r="C3" s="15">
        <f>IF(B3&gt;B2,((B3-B2)/B2), 0)</f>
        <v>0</v>
      </c>
      <c r="D3" s="14">
        <v>170000</v>
      </c>
      <c r="E3" s="15">
        <f>(D3-D2)/D2</f>
        <v>0.97674418604651159</v>
      </c>
    </row>
    <row r="4" spans="1:5" x14ac:dyDescent="0.25">
      <c r="A4" s="13" t="s">
        <v>308</v>
      </c>
      <c r="B4" s="7">
        <v>14.95</v>
      </c>
      <c r="C4" s="15">
        <f t="shared" ref="C4:C32" si="0">IF(B4&gt;B3,((B4-B3)/B3), 0)</f>
        <v>0</v>
      </c>
      <c r="D4" s="14">
        <v>230000</v>
      </c>
      <c r="E4" s="15">
        <f t="shared" ref="E4:E32" si="1">(D4-D3)/D3</f>
        <v>0.35294117647058826</v>
      </c>
    </row>
    <row r="5" spans="1:5" x14ac:dyDescent="0.25">
      <c r="A5" s="13" t="s">
        <v>309</v>
      </c>
      <c r="B5" s="7">
        <v>14.95</v>
      </c>
      <c r="C5" s="15">
        <f t="shared" si="0"/>
        <v>0</v>
      </c>
      <c r="D5" s="14">
        <v>157250</v>
      </c>
      <c r="E5" s="15">
        <f t="shared" si="1"/>
        <v>-0.31630434782608696</v>
      </c>
    </row>
    <row r="6" spans="1:5" x14ac:dyDescent="0.25">
      <c r="A6" s="13" t="s">
        <v>310</v>
      </c>
      <c r="B6" s="7">
        <v>14.95</v>
      </c>
      <c r="C6" s="15">
        <f t="shared" si="0"/>
        <v>0</v>
      </c>
      <c r="D6" s="14">
        <v>122000</v>
      </c>
      <c r="E6" s="15">
        <f t="shared" si="1"/>
        <v>-0.22416534181240064</v>
      </c>
    </row>
    <row r="7" spans="1:5" x14ac:dyDescent="0.25">
      <c r="A7" s="13" t="s">
        <v>335</v>
      </c>
      <c r="B7" s="7">
        <v>14.95</v>
      </c>
      <c r="C7" s="15">
        <f t="shared" si="0"/>
        <v>0</v>
      </c>
      <c r="D7" s="14" t="e">
        <v>#DIV/0!</v>
      </c>
      <c r="E7" s="15" t="e">
        <f t="shared" si="1"/>
        <v>#DIV/0!</v>
      </c>
    </row>
    <row r="8" spans="1:5" x14ac:dyDescent="0.25">
      <c r="A8" s="13" t="s">
        <v>336</v>
      </c>
      <c r="B8" s="7">
        <v>14.95</v>
      </c>
      <c r="C8" s="15">
        <f t="shared" si="0"/>
        <v>0</v>
      </c>
      <c r="D8" s="14" t="e">
        <v>#DIV/0!</v>
      </c>
      <c r="E8" s="15" t="e">
        <f t="shared" si="1"/>
        <v>#DIV/0!</v>
      </c>
    </row>
    <row r="9" spans="1:5" x14ac:dyDescent="0.25">
      <c r="A9" s="13" t="s">
        <v>337</v>
      </c>
      <c r="B9" s="7">
        <v>14.95</v>
      </c>
      <c r="C9" s="15">
        <f t="shared" si="0"/>
        <v>0</v>
      </c>
      <c r="D9" s="14" t="e">
        <v>#DIV/0!</v>
      </c>
      <c r="E9" s="15" t="e">
        <f t="shared" si="1"/>
        <v>#DIV/0!</v>
      </c>
    </row>
    <row r="10" spans="1:5" x14ac:dyDescent="0.25">
      <c r="A10" s="13" t="s">
        <v>311</v>
      </c>
      <c r="B10" s="7">
        <v>14.95</v>
      </c>
      <c r="C10" s="15">
        <f t="shared" si="0"/>
        <v>0</v>
      </c>
      <c r="D10" s="14">
        <v>70000</v>
      </c>
      <c r="E10" s="15" t="e">
        <f t="shared" si="1"/>
        <v>#DIV/0!</v>
      </c>
    </row>
    <row r="11" spans="1:5" x14ac:dyDescent="0.25">
      <c r="A11" s="13" t="s">
        <v>312</v>
      </c>
      <c r="B11" s="7">
        <v>14.95</v>
      </c>
      <c r="C11" s="15">
        <f t="shared" si="0"/>
        <v>0</v>
      </c>
      <c r="D11" s="14">
        <v>55000</v>
      </c>
      <c r="E11" s="15">
        <f t="shared" si="1"/>
        <v>-0.21428571428571427</v>
      </c>
    </row>
    <row r="12" spans="1:5" x14ac:dyDescent="0.25">
      <c r="A12" s="13" t="s">
        <v>313</v>
      </c>
      <c r="B12" s="7">
        <v>14.95</v>
      </c>
      <c r="C12" s="15">
        <f t="shared" si="0"/>
        <v>0</v>
      </c>
      <c r="D12" s="14">
        <v>55600</v>
      </c>
      <c r="E12" s="15">
        <f t="shared" si="1"/>
        <v>1.090909090909091E-2</v>
      </c>
    </row>
    <row r="13" spans="1:5" x14ac:dyDescent="0.25">
      <c r="A13" s="13" t="s">
        <v>314</v>
      </c>
      <c r="B13" s="7">
        <v>14.95</v>
      </c>
      <c r="C13" s="15">
        <f t="shared" si="0"/>
        <v>0</v>
      </c>
      <c r="D13" s="14">
        <v>83000</v>
      </c>
      <c r="E13" s="15">
        <f t="shared" si="1"/>
        <v>0.49280575539568344</v>
      </c>
    </row>
    <row r="14" spans="1:5" x14ac:dyDescent="0.25">
      <c r="A14" s="13" t="s">
        <v>315</v>
      </c>
      <c r="B14" s="7">
        <v>34.950000000000003</v>
      </c>
      <c r="C14" s="15">
        <f t="shared" si="0"/>
        <v>1.3377926421404684</v>
      </c>
      <c r="D14" s="14">
        <v>158333.33333333334</v>
      </c>
      <c r="E14" s="15">
        <f t="shared" si="1"/>
        <v>0.90763052208835349</v>
      </c>
    </row>
    <row r="15" spans="1:5" x14ac:dyDescent="0.25">
      <c r="A15" s="13" t="s">
        <v>316</v>
      </c>
      <c r="B15" s="7">
        <v>39.950000000000003</v>
      </c>
      <c r="C15" s="15">
        <f t="shared" si="0"/>
        <v>0.14306151645207438</v>
      </c>
      <c r="D15" s="14">
        <v>514900</v>
      </c>
      <c r="E15" s="15">
        <f t="shared" si="1"/>
        <v>2.2519999999999998</v>
      </c>
    </row>
    <row r="16" spans="1:5" x14ac:dyDescent="0.25">
      <c r="A16" s="13" t="s">
        <v>317</v>
      </c>
      <c r="B16" s="7">
        <v>39.950000000000003</v>
      </c>
      <c r="C16" s="15">
        <f t="shared" si="0"/>
        <v>0</v>
      </c>
      <c r="D16" s="14">
        <v>450363.63636363635</v>
      </c>
      <c r="E16" s="15">
        <f t="shared" si="1"/>
        <v>-0.12533766485990222</v>
      </c>
    </row>
    <row r="17" spans="1:5" x14ac:dyDescent="0.25">
      <c r="A17" s="13" t="s">
        <v>318</v>
      </c>
      <c r="B17" s="7">
        <v>44.95</v>
      </c>
      <c r="C17" s="15">
        <f t="shared" si="0"/>
        <v>0.12515644555694616</v>
      </c>
      <c r="D17" s="14">
        <v>531250</v>
      </c>
      <c r="E17" s="15">
        <f t="shared" si="1"/>
        <v>0.17960234154218815</v>
      </c>
    </row>
    <row r="18" spans="1:5" x14ac:dyDescent="0.25">
      <c r="A18" s="13" t="s">
        <v>319</v>
      </c>
      <c r="B18" s="7">
        <v>54.99</v>
      </c>
      <c r="C18" s="15">
        <f t="shared" si="0"/>
        <v>0.22335928809788652</v>
      </c>
      <c r="D18" s="14">
        <v>616923.07692307688</v>
      </c>
      <c r="E18" s="15">
        <f t="shared" si="1"/>
        <v>0.16126696832579177</v>
      </c>
    </row>
    <row r="19" spans="1:5" x14ac:dyDescent="0.25">
      <c r="A19" s="13" t="s">
        <v>320</v>
      </c>
      <c r="B19" s="7">
        <v>54.99</v>
      </c>
      <c r="C19" s="15">
        <f t="shared" si="0"/>
        <v>0</v>
      </c>
      <c r="D19" s="14">
        <v>610000</v>
      </c>
      <c r="E19" s="15">
        <f t="shared" si="1"/>
        <v>-1.1221945137157036E-2</v>
      </c>
    </row>
    <row r="20" spans="1:5" x14ac:dyDescent="0.25">
      <c r="A20" s="13" t="s">
        <v>321</v>
      </c>
      <c r="B20" s="7">
        <v>54.99</v>
      </c>
      <c r="C20" s="15">
        <f t="shared" si="0"/>
        <v>0</v>
      </c>
      <c r="D20" s="14">
        <v>524687.5</v>
      </c>
      <c r="E20" s="15">
        <f t="shared" si="1"/>
        <v>-0.13985655737704919</v>
      </c>
    </row>
    <row r="21" spans="1:5" x14ac:dyDescent="0.25">
      <c r="A21" s="13" t="s">
        <v>322</v>
      </c>
      <c r="B21" s="7">
        <v>54.99</v>
      </c>
      <c r="C21" s="15">
        <f t="shared" si="0"/>
        <v>0</v>
      </c>
      <c r="D21" s="14">
        <v>454615.38461538462</v>
      </c>
      <c r="E21" s="15">
        <f t="shared" si="1"/>
        <v>-0.1335501901314885</v>
      </c>
    </row>
    <row r="22" spans="1:5" x14ac:dyDescent="0.25">
      <c r="A22" s="13" t="s">
        <v>323</v>
      </c>
      <c r="B22" s="7">
        <v>54.99</v>
      </c>
      <c r="C22" s="15">
        <f t="shared" si="0"/>
        <v>0</v>
      </c>
      <c r="D22" s="14">
        <v>468846.15384615387</v>
      </c>
      <c r="E22" s="15">
        <f t="shared" si="1"/>
        <v>3.1302876480541496E-2</v>
      </c>
    </row>
    <row r="23" spans="1:5" x14ac:dyDescent="0.25">
      <c r="A23" s="13" t="s">
        <v>324</v>
      </c>
      <c r="B23" s="7">
        <v>54.99</v>
      </c>
      <c r="C23" s="15">
        <f t="shared" si="0"/>
        <v>0</v>
      </c>
      <c r="D23" s="14">
        <v>265833.33333333331</v>
      </c>
      <c r="E23" s="15">
        <f t="shared" si="1"/>
        <v>-0.43300519551544991</v>
      </c>
    </row>
    <row r="24" spans="1:5" x14ac:dyDescent="0.25">
      <c r="A24" s="13" t="s">
        <v>325</v>
      </c>
      <c r="B24" s="7">
        <v>59.99</v>
      </c>
      <c r="C24" s="15">
        <f t="shared" si="0"/>
        <v>9.092562284051646E-2</v>
      </c>
      <c r="D24" s="14">
        <v>580769.23076923075</v>
      </c>
      <c r="E24" s="15">
        <f t="shared" si="1"/>
        <v>1.1847118398842538</v>
      </c>
    </row>
    <row r="25" spans="1:5" x14ac:dyDescent="0.25">
      <c r="A25" s="13" t="s">
        <v>326</v>
      </c>
      <c r="B25" s="7">
        <v>59.99</v>
      </c>
      <c r="C25" s="15">
        <f t="shared" si="0"/>
        <v>0</v>
      </c>
      <c r="D25" s="14">
        <v>671769.23076923075</v>
      </c>
      <c r="E25" s="15">
        <f t="shared" si="1"/>
        <v>0.15668874172185432</v>
      </c>
    </row>
    <row r="26" spans="1:5" x14ac:dyDescent="0.25">
      <c r="A26" s="13" t="s">
        <v>327</v>
      </c>
      <c r="B26" s="7">
        <v>59.99</v>
      </c>
      <c r="C26" s="15">
        <f t="shared" si="0"/>
        <v>0</v>
      </c>
      <c r="D26" s="14">
        <v>355636.36363636365</v>
      </c>
      <c r="E26" s="15">
        <f t="shared" si="1"/>
        <v>-0.47059742044283437</v>
      </c>
    </row>
    <row r="27" spans="1:5" x14ac:dyDescent="0.25">
      <c r="A27" s="13" t="s">
        <v>328</v>
      </c>
      <c r="B27" s="7">
        <v>59.99</v>
      </c>
      <c r="C27" s="15">
        <f t="shared" si="0"/>
        <v>0</v>
      </c>
      <c r="D27" s="14">
        <v>452692.30769230769</v>
      </c>
      <c r="E27" s="15">
        <f t="shared" si="1"/>
        <v>0.27290781815321685</v>
      </c>
    </row>
    <row r="28" spans="1:5" x14ac:dyDescent="0.25">
      <c r="A28" s="13" t="s">
        <v>329</v>
      </c>
      <c r="B28" s="7">
        <v>59.99</v>
      </c>
      <c r="C28" s="15">
        <f t="shared" si="0"/>
        <v>0</v>
      </c>
      <c r="D28" s="14">
        <v>379375</v>
      </c>
      <c r="E28" s="15">
        <f t="shared" si="1"/>
        <v>-0.16195836873406966</v>
      </c>
    </row>
    <row r="29" spans="1:5" x14ac:dyDescent="0.25">
      <c r="A29" s="13" t="s">
        <v>330</v>
      </c>
      <c r="B29" s="7">
        <v>64.989999999999995</v>
      </c>
      <c r="C29" s="15">
        <f t="shared" si="0"/>
        <v>8.3347224537422784E-2</v>
      </c>
      <c r="D29" s="14">
        <v>870833.33333333337</v>
      </c>
      <c r="E29" s="15">
        <f t="shared" si="1"/>
        <v>1.2954420647995608</v>
      </c>
    </row>
    <row r="30" spans="1:5" x14ac:dyDescent="0.25">
      <c r="A30" s="13" t="s">
        <v>331</v>
      </c>
      <c r="B30" s="7">
        <v>69.989999999999995</v>
      </c>
      <c r="C30" s="15">
        <f t="shared" si="0"/>
        <v>7.6934913063548244E-2</v>
      </c>
      <c r="D30" s="14">
        <v>862500</v>
      </c>
      <c r="E30" s="15">
        <f t="shared" si="1"/>
        <v>-9.5693779904306667E-3</v>
      </c>
    </row>
    <row r="31" spans="1:5" x14ac:dyDescent="0.25">
      <c r="A31" s="13" t="s">
        <v>332</v>
      </c>
      <c r="B31" s="7">
        <v>74.989999999999995</v>
      </c>
      <c r="C31" s="15">
        <f t="shared" si="0"/>
        <v>7.1438776968138315E-2</v>
      </c>
      <c r="D31" s="14">
        <v>440000</v>
      </c>
      <c r="E31" s="15">
        <f t="shared" si="1"/>
        <v>-0.48985507246376814</v>
      </c>
    </row>
    <row r="32" spans="1:5" x14ac:dyDescent="0.25">
      <c r="A32" s="13" t="s">
        <v>333</v>
      </c>
      <c r="B32" s="7">
        <v>79.989999999999995</v>
      </c>
      <c r="C32" s="15">
        <f t="shared" si="0"/>
        <v>6.6675556740898798E-2</v>
      </c>
      <c r="D32" s="14" t="e">
        <v>#DIV/0!</v>
      </c>
      <c r="E32" s="15" t="e">
        <f t="shared" si="1"/>
        <v>#DIV/0!</v>
      </c>
    </row>
  </sheetData>
  <conditionalFormatting sqref="E2:E32 C2:C3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{C2E93004-1530-469C-8AD3-5F5F19F1F32D}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2E93004-1530-469C-8AD3-5F5F19F1F3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E2:E32 C2:C32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A5B28-B48B-4FA6-B8B1-5D8AF7C78785}">
  <sheetPr codeName="Sheet3"/>
  <dimension ref="A1:B10"/>
  <sheetViews>
    <sheetView zoomScale="130" zoomScaleNormal="130" workbookViewId="0">
      <selection activeCell="B7" sqref="B7"/>
    </sheetView>
  </sheetViews>
  <sheetFormatPr defaultColWidth="14.5703125" defaultRowHeight="15.75" x14ac:dyDescent="0.25"/>
  <cols>
    <col min="1" max="1" width="12.28515625" style="6" bestFit="1" customWidth="1"/>
    <col min="2" max="2" width="148.140625" bestFit="1" customWidth="1"/>
    <col min="3" max="3" width="14.5703125" bestFit="1" customWidth="1"/>
  </cols>
  <sheetData>
    <row r="1" spans="1:2" ht="15" x14ac:dyDescent="0.25">
      <c r="A1" s="8" t="s">
        <v>301</v>
      </c>
      <c r="B1" s="8" t="s">
        <v>300</v>
      </c>
    </row>
    <row r="2" spans="1:2" x14ac:dyDescent="0.25">
      <c r="A2" s="6">
        <v>35785</v>
      </c>
      <c r="B2" t="s">
        <v>343</v>
      </c>
    </row>
    <row r="3" spans="1:2" x14ac:dyDescent="0.25">
      <c r="A3" s="6">
        <v>38369</v>
      </c>
      <c r="B3" t="s">
        <v>304</v>
      </c>
    </row>
    <row r="4" spans="1:2" x14ac:dyDescent="0.25">
      <c r="A4" s="6">
        <v>39081</v>
      </c>
      <c r="B4" t="s">
        <v>342</v>
      </c>
    </row>
    <row r="5" spans="1:2" x14ac:dyDescent="0.25">
      <c r="A5" s="6">
        <v>40848</v>
      </c>
      <c r="B5" t="s">
        <v>345</v>
      </c>
    </row>
    <row r="6" spans="1:2" x14ac:dyDescent="0.25">
      <c r="A6" s="6">
        <v>42350</v>
      </c>
      <c r="B6" t="s">
        <v>346</v>
      </c>
    </row>
    <row r="7" spans="1:2" x14ac:dyDescent="0.25">
      <c r="A7" s="6">
        <v>42734</v>
      </c>
      <c r="B7" t="s">
        <v>344</v>
      </c>
    </row>
    <row r="8" spans="1:2" x14ac:dyDescent="0.25">
      <c r="A8" s="6">
        <v>43243</v>
      </c>
      <c r="B8" t="s">
        <v>347</v>
      </c>
    </row>
    <row r="9" spans="1:2" x14ac:dyDescent="0.25">
      <c r="A9" s="6">
        <v>43700</v>
      </c>
      <c r="B9" t="s">
        <v>348</v>
      </c>
    </row>
    <row r="10" spans="1:2" x14ac:dyDescent="0.25">
      <c r="A10" s="6">
        <v>43952</v>
      </c>
      <c r="B10" t="s">
        <v>305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PPV Buy Rates</vt:lpstr>
      <vt:lpstr>PPV Buy Rates (disclosed only)</vt:lpstr>
      <vt:lpstr>PPV Price vs Avg BR % Changes</vt:lpstr>
      <vt:lpstr>Business Events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Jed Jovellanos</dc:creator>
  <cp:lastModifiedBy>Jed Jovellanos</cp:lastModifiedBy>
  <dcterms:created xsi:type="dcterms:W3CDTF">2024-07-22T14:54:57Z</dcterms:created>
  <dcterms:modified xsi:type="dcterms:W3CDTF">2024-07-29T21:44:05Z</dcterms:modified>
</cp:coreProperties>
</file>